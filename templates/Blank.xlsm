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showInkAnnotation="0" updateLinks="never" codeName="ThisWorkbook" defaultThemeVersion="124226"/>
  <mc:AlternateContent xmlns:mc="http://schemas.openxmlformats.org/markup-compatibility/2006">
    <mc:Choice Requires="x15">
      <x15ac:absPath xmlns:x15ac="http://schemas.microsoft.com/office/spreadsheetml/2010/11/ac" url="C:\Users\efinney\Desktop\Chat GPT\app\templates\"/>
    </mc:Choice>
  </mc:AlternateContent>
  <xr:revisionPtr revIDLastSave="0" documentId="13_ncr:1_{912BFE1E-9E4C-48E5-BC00-4917D7D81077}" xr6:coauthVersionLast="47" xr6:coauthVersionMax="47" xr10:uidLastSave="{00000000-0000-0000-0000-000000000000}"/>
  <bookViews>
    <workbookView xWindow="-120" yWindow="-120" windowWidth="29040" windowHeight="15840" tabRatio="832" xr2:uid="{00000000-000D-0000-FFFF-FFFF00000000}"/>
  </bookViews>
  <sheets>
    <sheet name="Proposal" sheetId="19" r:id="rId1"/>
  </sheets>
  <definedNames>
    <definedName name="_xlnm._FilterDatabase" localSheetId="0" hidden="1">Proposal!#REF!</definedName>
    <definedName name="ApprovedCO_Amt">#REF!</definedName>
    <definedName name="ApprovedContract_Amt">#REF!</definedName>
    <definedName name="CO_Descript">#REF!</definedName>
    <definedName name="Estimate_Descript">#REF!</definedName>
    <definedName name="Invoice_Descript">#REF!</definedName>
    <definedName name="JobLink">#REF!</definedName>
    <definedName name="Pack_Descript">#REF!</definedName>
    <definedName name="PackSlip_Descript">#REF!</definedName>
    <definedName name="_xlnm.Print_Area" localSheetId="0">Proposal!$A$1:$F$122</definedName>
    <definedName name="_xlnm.Print_Titles" localSheetId="0">Proposal!$8:$8</definedName>
    <definedName name="Proposal_Descript">Proposal!$C$28:$C$46</definedName>
    <definedName name="RCO_Descript">#REF!</definedName>
    <definedName name="UnapprovedCO_Amt">#REF!</definedName>
    <definedName name="Z_A581824D_91D9_4409_9934_4343B9D559AE_.wvu.FilterData" localSheetId="0" hidden="1">Proposal!#REF!</definedName>
    <definedName name="Z_A581824D_91D9_4409_9934_4343B9D559AE_.wvu.PrintArea" localSheetId="0" hidden="1">Proposal!$A$1:$F$117</definedName>
    <definedName name="Z_A581824D_91D9_4409_9934_4343B9D559AE_.wvu.PrintTitles" localSheetId="0" hidden="1">Proposal!$8:$8</definedName>
    <definedName name="Z_A581824D_91D9_4409_9934_4343B9D559AE_.wvu.Rows" localSheetId="0" hidden="1">Proposal!$39:$40</definedName>
  </definedNames>
  <calcPr calcId="191029"/>
  <customWorkbookViews>
    <customWorkbookView name="Nancy Punt - Personal View" guid="{A581824D-91D9-4409-9934-4343B9D559AE}" mergeInterval="0" personalView="1" maximized="1" windowWidth="1680" windowHeight="844"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9" l="1"/>
  <c r="F30" i="19"/>
  <c r="F31" i="19"/>
  <c r="F32" i="19"/>
  <c r="F33" i="19"/>
  <c r="F34" i="19"/>
  <c r="F35" i="19"/>
  <c r="F36" i="19"/>
  <c r="F37" i="19"/>
  <c r="F38" i="19"/>
  <c r="F39" i="19"/>
  <c r="F40" i="19"/>
  <c r="F41" i="19"/>
  <c r="F42" i="19"/>
  <c r="F43" i="19"/>
  <c r="F44" i="19"/>
  <c r="F45" i="19"/>
  <c r="F46" i="19"/>
  <c r="F47" i="19"/>
  <c r="A30" i="19"/>
  <c r="A31" i="19" s="1"/>
  <c r="A32" i="19" s="1"/>
  <c r="A33" i="19" s="1"/>
  <c r="A34" i="19" s="1"/>
  <c r="A35" i="19" s="1"/>
  <c r="A36" i="19" s="1"/>
  <c r="A37" i="19" s="1"/>
  <c r="A38" i="19" s="1"/>
  <c r="A39" i="19" s="1"/>
  <c r="A40" i="19" s="1"/>
  <c r="A41" i="19" s="1"/>
  <c r="A42" i="19" s="1"/>
  <c r="A43" i="19" s="1"/>
  <c r="A44" i="19" s="1"/>
  <c r="A45" i="19" s="1"/>
  <c r="A46" i="19" s="1"/>
  <c r="A47" i="19" s="1"/>
  <c r="F28" i="19" l="1"/>
  <c r="F48" i="19" s="1"/>
  <c r="A28" i="19"/>
  <c r="A29" i="19" s="1"/>
  <c r="F54" i="19" l="1"/>
  <c r="F62"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Nancy Punt</author>
  </authors>
  <commentList>
    <comment ref="D8" authorId="0" shapeId="0" xr:uid="{00000000-0006-0000-0200-000001000000}">
      <text>
        <r>
          <rPr>
            <sz val="9"/>
            <color indexed="81"/>
            <rFont val="Tahoma"/>
            <family val="2"/>
          </rPr>
          <t xml:space="preserve">            </t>
        </r>
        <r>
          <rPr>
            <b/>
            <u/>
            <sz val="9"/>
            <color indexed="81"/>
            <rFont val="Tahoma"/>
            <family val="2"/>
          </rPr>
          <t>REVISED</t>
        </r>
        <r>
          <rPr>
            <sz val="9"/>
            <color indexed="81"/>
            <rFont val="Tahoma"/>
            <family val="2"/>
          </rPr>
          <t xml:space="preserve">
</t>
        </r>
        <r>
          <rPr>
            <sz val="8"/>
            <color indexed="81"/>
            <rFont val="Tahoma"/>
            <family val="2"/>
          </rPr>
          <t xml:space="preserve">once proposal has been sent out &amp; it needs to be revised. Copy sheet, mark the job# as A and if revised again B </t>
        </r>
        <r>
          <rPr>
            <sz val="9"/>
            <color indexed="81"/>
            <rFont val="Tahoma"/>
            <family val="2"/>
          </rPr>
          <t xml:space="preserve">
(example 2201 A)
</t>
        </r>
        <r>
          <rPr>
            <sz val="8"/>
            <color indexed="81"/>
            <rFont val="Tahoma"/>
            <family val="2"/>
          </rPr>
          <t>once proposal is signed off it cannot be revised --now it needs a change order.</t>
        </r>
        <r>
          <rPr>
            <sz val="9"/>
            <color indexed="81"/>
            <rFont val="Tahoma"/>
            <family val="2"/>
          </rPr>
          <t xml:space="preserve">
             </t>
        </r>
        <r>
          <rPr>
            <b/>
            <u/>
            <sz val="9"/>
            <color indexed="81"/>
            <rFont val="Tahoma"/>
            <family val="2"/>
          </rPr>
          <t>Phases</t>
        </r>
        <r>
          <rPr>
            <sz val="9"/>
            <color indexed="81"/>
            <rFont val="Tahoma"/>
            <family val="2"/>
          </rPr>
          <t xml:space="preserve">
</t>
        </r>
        <r>
          <rPr>
            <sz val="8"/>
            <color indexed="81"/>
            <rFont val="Tahoma"/>
            <family val="2"/>
          </rPr>
          <t>more than one phase or several billings. can have As &amp; Bs
use Job # and the PH1 or PH2</t>
        </r>
        <r>
          <rPr>
            <sz val="9"/>
            <color indexed="81"/>
            <rFont val="Tahoma"/>
            <family val="2"/>
          </rPr>
          <t xml:space="preserve">
(example 2201 PH1)
              </t>
        </r>
        <r>
          <rPr>
            <b/>
            <u/>
            <sz val="9"/>
            <color indexed="81"/>
            <rFont val="Tahoma"/>
            <family val="2"/>
          </rPr>
          <t>Options</t>
        </r>
        <r>
          <rPr>
            <b/>
            <sz val="9"/>
            <color indexed="81"/>
            <rFont val="Tahoma"/>
            <family val="2"/>
          </rPr>
          <t xml:space="preserve">
</t>
        </r>
        <r>
          <rPr>
            <sz val="8"/>
            <color indexed="81"/>
            <rFont val="Tahoma"/>
            <family val="2"/>
          </rPr>
          <t xml:space="preserve">more than one option use Option 1, Option 2. Can have As &amp; Bs
</t>
        </r>
        <r>
          <rPr>
            <sz val="9"/>
            <color indexed="81"/>
            <rFont val="Tahoma"/>
            <family val="2"/>
          </rPr>
          <t xml:space="preserve">(example 2201 Option 1)
         </t>
        </r>
        <r>
          <rPr>
            <b/>
            <u/>
            <sz val="9"/>
            <color indexed="81"/>
            <rFont val="Tahoma"/>
            <family val="2"/>
          </rPr>
          <t>Several Clients</t>
        </r>
        <r>
          <rPr>
            <sz val="9"/>
            <color indexed="81"/>
            <rFont val="Tahoma"/>
            <family val="2"/>
          </rPr>
          <t xml:space="preserve"> 
</t>
        </r>
        <r>
          <rPr>
            <sz val="8"/>
            <color indexed="81"/>
            <rFont val="Tahoma"/>
            <family val="2"/>
          </rPr>
          <t>after job # use abbreviated client name. can have As &amp; Bs</t>
        </r>
        <r>
          <rPr>
            <sz val="9"/>
            <color indexed="81"/>
            <rFont val="Tahoma"/>
            <family val="2"/>
          </rPr>
          <t xml:space="preserve">
(example 22201 Yesco)
</t>
        </r>
      </text>
    </comment>
    <comment ref="F28" authorId="0" shapeId="0" xr:uid="{00000000-0006-0000-0200-000002000000}">
      <text>
        <r>
          <rPr>
            <b/>
            <sz val="9"/>
            <color indexed="81"/>
            <rFont val="Tahoma"/>
            <family val="2"/>
          </rPr>
          <t>formula needed</t>
        </r>
        <r>
          <rPr>
            <sz val="9"/>
            <color indexed="81"/>
            <rFont val="Tahoma"/>
            <family val="2"/>
          </rPr>
          <t xml:space="preserve">
</t>
        </r>
      </text>
    </comment>
    <comment ref="F29" authorId="0" shapeId="0" xr:uid="{00000000-0006-0000-0200-000018000000}">
      <text>
        <r>
          <rPr>
            <b/>
            <sz val="9"/>
            <color indexed="81"/>
            <rFont val="Tahoma"/>
            <family val="2"/>
          </rPr>
          <t>formula needed</t>
        </r>
        <r>
          <rPr>
            <sz val="9"/>
            <color indexed="81"/>
            <rFont val="Tahoma"/>
            <family val="2"/>
          </rPr>
          <t xml:space="preserve">
</t>
        </r>
      </text>
    </comment>
    <comment ref="F45" authorId="0" shapeId="0" xr:uid="{00000000-0006-0000-0200-000019000000}">
      <text>
        <r>
          <rPr>
            <b/>
            <sz val="9"/>
            <color indexed="81"/>
            <rFont val="Tahoma"/>
            <family val="2"/>
          </rPr>
          <t>formula needed</t>
        </r>
        <r>
          <rPr>
            <sz val="9"/>
            <color indexed="81"/>
            <rFont val="Tahoma"/>
            <family val="2"/>
          </rPr>
          <t xml:space="preserve">
</t>
        </r>
      </text>
    </comment>
    <comment ref="F46" authorId="0" shapeId="0" xr:uid="{00000000-0006-0000-0200-00001A000000}">
      <text>
        <r>
          <rPr>
            <b/>
            <sz val="9"/>
            <color indexed="81"/>
            <rFont val="Tahoma"/>
            <family val="2"/>
          </rPr>
          <t>formula needed</t>
        </r>
        <r>
          <rPr>
            <sz val="9"/>
            <color indexed="81"/>
            <rFont val="Tahoma"/>
            <family val="2"/>
          </rPr>
          <t xml:space="preserve">
</t>
        </r>
      </text>
    </comment>
    <comment ref="F47" authorId="0" shapeId="0" xr:uid="{00000000-0006-0000-0200-00001B000000}">
      <text>
        <r>
          <rPr>
            <b/>
            <sz val="9"/>
            <color indexed="81"/>
            <rFont val="Tahoma"/>
            <family val="2"/>
          </rPr>
          <t>formula needed</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<sst xmlns="http://schemas.openxmlformats.org/spreadsheetml/2006/main" count="75" uniqueCount="75">
  <si>
    <t>Date:</t>
  </si>
  <si>
    <t>Item</t>
  </si>
  <si>
    <t>Sign Type</t>
  </si>
  <si>
    <t>Description</t>
  </si>
  <si>
    <t>Qty</t>
  </si>
  <si>
    <t>Total</t>
  </si>
  <si>
    <t>Subtotal</t>
  </si>
  <si>
    <t>Installation</t>
  </si>
  <si>
    <t>Grand Total</t>
  </si>
  <si>
    <t>Unit  Price</t>
  </si>
  <si>
    <t>Sales Rep:</t>
  </si>
  <si>
    <t>Project Overview:</t>
  </si>
  <si>
    <t>Terms and Conditions</t>
  </si>
  <si>
    <t>Balance due upon delivery of order.</t>
  </si>
  <si>
    <t>1.</t>
  </si>
  <si>
    <t>2.</t>
  </si>
  <si>
    <t>3.</t>
  </si>
  <si>
    <t>4.</t>
  </si>
  <si>
    <t>5.</t>
  </si>
  <si>
    <t>6.</t>
  </si>
  <si>
    <t>7.</t>
  </si>
  <si>
    <t>8.</t>
  </si>
  <si>
    <t>9.</t>
  </si>
  <si>
    <t>10.</t>
  </si>
  <si>
    <t>11.</t>
  </si>
  <si>
    <t>12.</t>
  </si>
  <si>
    <t>13.</t>
  </si>
  <si>
    <t>Boyd Sign Systems warranties all material and labor from one year of purchase.  Warranties will not be honored if product has not been paid for in full.  Extended warranty terms are available for an additional cost.</t>
  </si>
  <si>
    <t>We appreciate this opportunity to present our proposal.  If this proposal meets your approval, please indicate your acceptance by signing below.</t>
  </si>
  <si>
    <t>Customer Approval:</t>
  </si>
  <si>
    <t>Signature indicates your agreement with this proposal and any associated Statements of Work.</t>
  </si>
  <si>
    <t xml:space="preserve">          www.BOYDSIGNSYSTEMS.com                                                                     </t>
  </si>
  <si>
    <t>All drawings must be signed-off and the deposit received before work will be sent to production.</t>
  </si>
  <si>
    <t>The attached proposal is a key component of your project's overall transaction as it clearly defines the various detailed signage needs.  This document must be signed and dated as a pre-condition of project commencement.</t>
  </si>
  <si>
    <r>
      <t xml:space="preserve">Boyd Sign Systems </t>
    </r>
    <r>
      <rPr>
        <b/>
        <sz val="9"/>
        <rFont val="Arial"/>
        <family val="2"/>
      </rPr>
      <t>LLC</t>
    </r>
  </si>
  <si>
    <t>Project Manager:</t>
  </si>
  <si>
    <t>All prices are FOB Origin.  Shipping is quoted using standard ground services and in one delivery.  If an expedited and/or split-shipping method is requested a change order will be required, and additional charges will apply.</t>
  </si>
  <si>
    <t>All amounts not paid when due according to the terms herein, including interest, shall bear interest at the highest rate allowed by law from the date payment was due until paid.</t>
  </si>
  <si>
    <t>Boyd Sign Systems has a minimum order amount of $250.  Boyd Sign Systems will honor the unit price of the product or system for ninety (90) days from the final ship date of said product or system as long as the total amount of the order meets the $250 minimum.</t>
  </si>
  <si>
    <t>After ninety (90) days from the final ship date, unit prices will be adjusted to reflect the fair market value of manufacturing the signs in reduced quantities versus the efficiencies that are gained in larger production runs.</t>
  </si>
  <si>
    <t>Requests for product ahead of the scheduled delivery date (triggered by the final sign-off &amp; deposit) will necessitate an expediting/rush charge and will only be set in motion by a signed change order.</t>
  </si>
  <si>
    <t>If Installation is part of your project, the install price is calculated on the basis of a detailed, finely coordinated schedule of events based on the best information available to us at the time of this proposal.  We Acknowledge that site conditions can and do change throughout the course of a project, and we will always do our best to accommodate reasonable modifications to our original plan, however, if site conditions are not ready for us or misrepresented, and we are unable to execute our stated work, a change order will be necessary to capture the additional trip(s) and associated costs.  Work will not commerce until said change order(s) is acknowledged and signed.</t>
  </si>
  <si>
    <t>14.</t>
  </si>
  <si>
    <t>15.</t>
  </si>
  <si>
    <t>16.</t>
  </si>
  <si>
    <t>The buyer is responsible for and ensuring the proper resources are in place and ready to receive shipments from Boyd Sign Systems unless prior arrangements were made and documented in writing.  This includes; qualified personnel, material handling equipment, and a safe and secure area for the crate(s) to be stored until they are needed.</t>
  </si>
  <si>
    <t>You will receive an invoice for the down payment required to begin your project and terms for the balance is due upon completion.  The obligations that Boyd Sign Systems will assume will not begin until all documents are signed and received, including the down payment.</t>
  </si>
  <si>
    <t>Ship to</t>
  </si>
  <si>
    <t>Sign Location</t>
  </si>
  <si>
    <t>Other Services</t>
  </si>
  <si>
    <t>Sold to</t>
  </si>
  <si>
    <r>
      <t xml:space="preserve">   Customer Signature: __________________________________________________</t>
    </r>
    <r>
      <rPr>
        <b/>
        <sz val="10"/>
        <rFont val="Arial"/>
        <family val="2"/>
      </rPr>
      <t xml:space="preserve">  Date</t>
    </r>
    <r>
      <rPr>
        <sz val="10"/>
        <rFont val="Arial"/>
        <family val="2"/>
      </rPr>
      <t>: ___________________</t>
    </r>
  </si>
  <si>
    <r>
      <t xml:space="preserve">    Print Name: _______________________________________________     </t>
    </r>
    <r>
      <rPr>
        <b/>
        <sz val="10"/>
        <rFont val="Arial"/>
        <family val="2"/>
      </rPr>
      <t>Title</t>
    </r>
    <r>
      <rPr>
        <sz val="10"/>
        <rFont val="Arial"/>
        <family val="2"/>
      </rPr>
      <t>: _____________________________</t>
    </r>
  </si>
  <si>
    <t>of order</t>
  </si>
  <si>
    <r>
      <t xml:space="preserve">Will house a monitor and a small form factor PC/Player. Will have Mathews Automotive grade paint and laminate accents where applicable. Includes USB powered fans for active assisted ventilation. Must be selected from the Boyd Catalog to honor the listed price. </t>
    </r>
    <r>
      <rPr>
        <b/>
        <sz val="9"/>
        <rFont val="Arial"/>
        <family val="2"/>
      </rPr>
      <t xml:space="preserve">This is a touch/non-touch application. </t>
    </r>
  </si>
  <si>
    <t xml:space="preserve"> Tax</t>
  </si>
  <si>
    <r>
      <t xml:space="preserve">                                                                                                                             </t>
    </r>
    <r>
      <rPr>
        <b/>
        <sz val="12"/>
        <color indexed="56"/>
        <rFont val="Arial"/>
        <family val="2"/>
      </rPr>
      <t>BSS Job#</t>
    </r>
    <r>
      <rPr>
        <sz val="12"/>
        <color indexed="56"/>
        <rFont val="Arial"/>
        <family val="2"/>
      </rPr>
      <t xml:space="preserve"> </t>
    </r>
    <r>
      <rPr>
        <sz val="9"/>
        <color indexed="56"/>
        <rFont val="Arial"/>
        <family val="2"/>
      </rPr>
      <t xml:space="preserve">                                       </t>
    </r>
  </si>
  <si>
    <t>17.</t>
  </si>
  <si>
    <t xml:space="preserve">Taxes. Customer is responsible for all taxes.  If not billed on original invoice, taxes may be billed separately at a future date.  The amount of taxes invoiced will be the actual amount computed based on FOB Origin or FOB Destination for customer's ship to location, which may be different than those shown on this proposal.  If this proposal is being used for budgetary purposes, customer may wish to compute taxes based upon their knowledge of their own tax locations.   </t>
  </si>
  <si>
    <t>If customer is tax exempt or holds a resale license, customer is responsible for providing their tax-exempt or resale certificate to Boyd Sign Systems: otherwise invoicing will include taxes.</t>
  </si>
  <si>
    <t>The final ship and/or install date will be determined once all of the creative materials have been received.</t>
  </si>
  <si>
    <t>18.</t>
  </si>
  <si>
    <t>19.</t>
  </si>
  <si>
    <t xml:space="preserve"> Deposit / Down Payment Information.               The deposit for this proposal is:</t>
  </si>
  <si>
    <t xml:space="preserve">Pricing for your job is calculated to be built and shipped in its entirety unless previously noted.
Any requests that deviate from this will impact the cost of production and thus necessitate a change order reflecting additional charges.  </t>
  </si>
  <si>
    <t xml:space="preserve">      Boyd Sign Systems' Contacts                                          </t>
  </si>
  <si>
    <r>
      <t>Special delivery services</t>
    </r>
    <r>
      <rPr>
        <sz val="10"/>
        <rFont val="Arial"/>
        <family val="2"/>
      </rPr>
      <t xml:space="preserve"> not disclosed, but necessary to deliver our products, such as lift-gate requirements, construction sites, government properties, tradeshow exhibits, ones requiring specific appointments, redeliveries, or other special delivery situations are all subject to additional charges and will be billed accordingly.</t>
    </r>
  </si>
  <si>
    <t>This Agreement (signed proposal) shall be construed in accordance with and governed by the laws of the State of Colorado and of the United States of America.  This Agreement (signed proposal) is made and is performable in the City of Englewood, Arapahoe County, Colorado.  Buyer and Seller agree that suits brought to enforce or interpret or relating to the terms of this Agreement (signed proposal) or alleging default there under shall be brought in the State Courts or United States District Courts sitting in the City of Denver, Denver County, Colorado, which courts shall have exclusive jurisdiction of such claims, and Seller and each surety, guarantor, endorser and other party ever liable for payment of any sums of money under this Agreement (signed proposal), jointly and severally waive the right to be sued heron elsewhere.   All sums of money due and payable under this Agreement (signed proposal), jointly and severally waive the right to be sued heron elsewhere. All sums of money due and payable under this Agreement (signed proposal) shall be paid to Seller at 3901 S Kalamath Street, Englewood, Colorado 80110.</t>
  </si>
  <si>
    <r>
      <t>Shop Drawings</t>
    </r>
    <r>
      <rPr>
        <b/>
        <sz val="10"/>
        <rFont val="Arial"/>
        <family val="2"/>
      </rPr>
      <t xml:space="preserve"> </t>
    </r>
    <r>
      <rPr>
        <sz val="10"/>
        <rFont val="Arial"/>
        <family val="2"/>
      </rPr>
      <t xml:space="preserve">will not begin until this proposal is approved. Once signed and returned, shop drawings take between 3-10 business days to complete. Shop drawings must be signed and returned before fabrication can begin. Once shop drawings are complete, any major changes that occur and a re-draw is required, an engineering/graphics fee of $300 per sign type will apply. Regarding digital enclosures this $300 fee applies to changes in hardware, mounting application (surface vs. recessed), or design. Approval of this proposal authorizes Boyd to start shop drawings based on the quoted hardware specs outlined in the description field of each sign type. </t>
    </r>
  </si>
  <si>
    <t>Typical lead-time to ship is 6 weeks once the design has been finalized and signed off by the client.  We reserve the right to adjust the quoted delivery at the time we receive the actual sign off and down payment to then accurately reflect our existing production requirements.</t>
  </si>
  <si>
    <t>Shipping &amp; Crating</t>
  </si>
  <si>
    <t>Prices are effective for 20 days from the date of this proposal.                                                                                                This proposal may be withdrawn if not executed within this time.</t>
  </si>
  <si>
    <t>Client Responsible for Taxes-</t>
  </si>
  <si>
    <t>Shipping is quoted using standard ground services (transit 5-7 business days). If expedited shipping is preferred, a change order is required.  Approval of said change order is required prior to shipment. The entire shipment must be inspected for damage immediately upon delivery and documented and reported immediately to the carrier.  If an immediate inspection is not conducted, Boyd Sign Systems will not be held responsible.  Any damage then becomes the responsibility of the "Recipient/Consignee".</t>
  </si>
  <si>
    <t xml:space="preserve">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</si>
</sst>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409]mmmm\ d\,\ yyyy;@"/>
    <numFmt numFmtId="165" formatCode="&quot;$&quot;#,##0"/>
    <numFmt numFmtId="166" formatCode="[&lt;=9999999]###\-####;\(###\)\ ###\-####"/>
    <numFmt numFmtId="167" formatCode="0.000%"/>
  </numFmts>
  <fonts count="58">
    <font>
      <sz val="10"/>
      <name val="Arial"/>
      <family val="2"/>
    </font>
    <font>
      <sz val="11"/>
      <color theme="1"/>
      <name val="Calibri"/>
      <family val="2"/>
      <scheme val="minor"/>
    </font>
    <font>
      <sz val="10"/>
      <name val="Arial"/>
      <family val="2"/>
    </font>
    <font>
      <b/>
      <sz val="10"/>
      <name val="Arial"/>
      <family val="2"/>
    </font>
    <font>
      <b/>
      <sz val="12"/>
      <name val="Arial"/>
      <family val="2"/>
    </font>
    <font>
      <b/>
      <sz val="9"/>
      <name val="Arial"/>
      <family val="2"/>
    </font>
    <font>
      <sz val="10"/>
      <name val="Century Gothic"/>
      <family val="2"/>
    </font>
    <font>
      <sz val="9"/>
      <name val="Arial"/>
      <family val="2"/>
    </font>
    <font>
      <u/>
      <sz val="10"/>
      <color indexed="12"/>
      <name val="Arial"/>
      <family val="2"/>
    </font>
    <font>
      <sz val="10"/>
      <color indexed="8"/>
      <name val="Arial"/>
      <family val="2"/>
    </font>
    <font>
      <sz val="8"/>
      <name val="Arial"/>
      <family val="2"/>
    </font>
    <font>
      <sz val="11"/>
      <name val="Calibri"/>
      <family val="2"/>
    </font>
    <font>
      <b/>
      <i/>
      <sz val="10"/>
      <name val="Arial"/>
      <family val="2"/>
    </font>
    <font>
      <sz val="8"/>
      <name val="Arial Narrow"/>
      <family val="2"/>
    </font>
    <font>
      <sz val="9"/>
      <color indexed="81"/>
      <name val="Tahoma"/>
      <family val="2"/>
    </font>
    <font>
      <i/>
      <sz val="8"/>
      <name val="Arial"/>
      <family val="2"/>
    </font>
    <font>
      <b/>
      <sz val="8"/>
      <name val="Arno Pro Smbd SmText"/>
      <family val="1"/>
    </font>
    <font>
      <b/>
      <sz val="9"/>
      <name val="Courier New"/>
      <family val="3"/>
    </font>
    <font>
      <b/>
      <sz val="8"/>
      <name val="Arial"/>
      <family val="2"/>
    </font>
    <font>
      <i/>
      <sz val="8"/>
      <name val="Constantia"/>
      <family val="1"/>
    </font>
    <font>
      <sz val="9"/>
      <color indexed="56"/>
      <name val="Arial"/>
      <family val="2"/>
    </font>
    <font>
      <sz val="10"/>
      <name val="Cordia New"/>
      <family val="2"/>
    </font>
    <font>
      <b/>
      <u/>
      <sz val="8"/>
      <name val="Arial"/>
      <family val="2"/>
    </font>
    <font>
      <sz val="9"/>
      <name val="Segoe UI"/>
      <family val="2"/>
    </font>
    <font>
      <b/>
      <sz val="9"/>
      <name val="Segoe UI"/>
      <family val="2"/>
    </font>
    <font>
      <b/>
      <sz val="18"/>
      <name val="Arial"/>
      <family val="2"/>
    </font>
    <font>
      <b/>
      <sz val="11"/>
      <name val="Arial"/>
      <family val="2"/>
    </font>
    <font>
      <sz val="9"/>
      <name val="Albertus Extra Bold"/>
      <family val="2"/>
    </font>
    <font>
      <b/>
      <sz val="10"/>
      <name val="Segoe UI"/>
      <family val="2"/>
    </font>
    <font>
      <b/>
      <sz val="12"/>
      <color indexed="56"/>
      <name val="Arial"/>
      <family val="2"/>
    </font>
    <font>
      <sz val="12"/>
      <color indexed="56"/>
      <name val="Arial"/>
      <family val="2"/>
    </font>
    <font>
      <sz val="16"/>
      <name val="GarmdITC BkCn BT"/>
      <family val="1"/>
    </font>
    <font>
      <b/>
      <i/>
      <sz val="8"/>
      <name val="Arial"/>
      <family val="2"/>
    </font>
    <font>
      <b/>
      <sz val="9"/>
      <color indexed="81"/>
      <name val="Tahoma"/>
      <family val="2"/>
    </font>
    <font>
      <b/>
      <u/>
      <sz val="9"/>
      <color indexed="81"/>
      <name val="Tahoma"/>
      <family val="2"/>
    </font>
    <font>
      <sz val="8"/>
      <color indexed="81"/>
      <name val="Tahoma"/>
      <family val="2"/>
    </font>
    <font>
      <sz val="8"/>
      <color indexed="56"/>
      <name val="Arial"/>
      <family val="2"/>
    </font>
    <font>
      <sz val="9"/>
      <color indexed="63"/>
      <name val="Arial"/>
      <family val="2"/>
    </font>
    <font>
      <sz val="10"/>
      <color indexed="63"/>
      <name val="Arial"/>
      <family val="2"/>
    </font>
    <font>
      <b/>
      <sz val="10"/>
      <color indexed="63"/>
      <name val="Arial"/>
      <family val="2"/>
    </font>
    <font>
      <b/>
      <i/>
      <sz val="10"/>
      <color indexed="63"/>
      <name val="Arial"/>
      <family val="2"/>
    </font>
    <font>
      <sz val="10"/>
      <name val="Arial"/>
      <family val="2"/>
    </font>
    <font>
      <b/>
      <u/>
      <sz val="10"/>
      <name val="Segoe UI Semibold"/>
      <family val="2"/>
    </font>
    <font>
      <i/>
      <sz val="10"/>
      <name val="Arial"/>
      <family val="2"/>
    </font>
    <font>
      <i/>
      <sz val="8"/>
      <name val="Century Schoolbook"/>
      <family val="1"/>
    </font>
    <font>
      <b/>
      <i/>
      <sz val="8"/>
      <name val="Century Schoolbook"/>
      <family val="1"/>
    </font>
    <font>
      <i/>
      <sz val="8"/>
      <name val="Caxton Bk BT"/>
      <family val="1"/>
    </font>
    <font>
      <sz val="8"/>
      <color indexed="63"/>
      <name val="Arial"/>
      <family val="2"/>
    </font>
    <font>
      <b/>
      <i/>
      <sz val="9"/>
      <color theme="1"/>
      <name val="Arial"/>
      <family val="2"/>
    </font>
    <font>
      <b/>
      <sz val="9"/>
      <color theme="1"/>
      <name val="Arial Narrow"/>
      <family val="2"/>
    </font>
    <font>
      <sz val="8"/>
      <color theme="1"/>
      <name val="Arial"/>
      <family val="2"/>
    </font>
    <font>
      <sz val="8"/>
      <color indexed="8"/>
      <name val="Arial Narrow"/>
      <family val="2"/>
    </font>
    <font>
      <b/>
      <sz val="8"/>
      <color theme="2" tint="-0.249977111117893"/>
      <name val="Arial"/>
      <family val="2"/>
    </font>
    <font>
      <b/>
      <i/>
      <sz val="8"/>
      <color theme="1"/>
      <name val="Arial"/>
      <family val="2"/>
    </font>
    <font>
      <sz val="8"/>
      <color indexed="8"/>
      <name val="Arial"/>
      <family val="2"/>
    </font>
    <font>
      <sz val="9"/>
      <color rgb="FFFF0000"/>
      <name val="Arial"/>
      <family val="2"/>
    </font>
    <font>
      <sz val="11"/>
      <name val="Century Gothic"/>
      <family val="2"/>
    </font>
    <font>
      <sz val="9"/>
      <color theme="0"/>
      <name val="Arial"/>
      <family val="2"/>
    </font>
  </fonts>
  <fills count="9">
    <fill>
      <patternFill patternType="none"/>
    </fill>
    <fill>
      <patternFill patternType="gray125"/>
    </fill>
    <fill>
      <patternFill patternType="solid">
        <fgColor indexed="44"/>
        <bgColor indexed="64"/>
      </patternFill>
    </fill>
    <fill>
      <patternFill patternType="solid">
        <fgColor rgb="FFE6E6E6"/>
        <bgColor indexed="64"/>
      </patternFill>
    </fill>
    <fill>
      <patternFill patternType="solid">
        <fgColor rgb="FFFFFF00"/>
        <bgColor indexed="64"/>
      </patternFill>
    </fill>
    <fill>
      <patternFill patternType="solid">
        <fgColor rgb="FF00B0F0"/>
        <bgColor indexed="64"/>
      </patternFill>
    </fill>
    <fill>
      <patternFill patternType="solid">
        <fgColor theme="8"/>
        <bgColor indexed="64"/>
      </patternFill>
    </fill>
    <fill>
      <patternFill patternType="solid">
        <fgColor theme="0"/>
        <bgColor indexed="64"/>
      </patternFill>
    </fill>
    <fill>
      <patternFill patternType="solid">
        <fgColor theme="0" tint="-4.9989318521683403E-2"/>
        <bgColor indexed="64"/>
      </patternFill>
    </fill>
  </fills>
  <borders count="23">
    <border>
      <left/>
      <right/>
      <top/>
      <bottom/>
      <diagonal/>
    </border>
    <border>
      <left/>
      <right/>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style="thin">
        <color auto="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indexed="64"/>
      </left>
      <right style="thin">
        <color indexed="64"/>
      </right>
      <top style="thin">
        <color indexed="64"/>
      </top>
      <bottom style="thin">
        <color theme="0" tint="-0.14999847407452621"/>
      </bottom>
      <diagonal/>
    </border>
    <border>
      <left style="thin">
        <color indexed="64"/>
      </left>
      <right/>
      <top style="thin">
        <color indexed="64"/>
      </top>
      <bottom style="thin">
        <color theme="0" tint="-0.14999847407452621"/>
      </bottom>
      <diagonal/>
    </border>
    <border>
      <left/>
      <right style="thin">
        <color indexed="64"/>
      </right>
      <top style="thin">
        <color indexed="64"/>
      </top>
      <bottom style="thin">
        <color theme="0" tint="-0.14999847407452621"/>
      </bottom>
      <diagonal/>
    </border>
    <border>
      <left style="thin">
        <color indexed="64"/>
      </left>
      <right style="thin">
        <color indexed="64"/>
      </right>
      <top style="thin">
        <color indexed="64"/>
      </top>
      <bottom style="thin">
        <color theme="1"/>
      </bottom>
      <diagonal/>
    </border>
    <border>
      <left/>
      <right/>
      <top style="thin">
        <color indexed="64"/>
      </top>
      <bottom style="thin">
        <color theme="1"/>
      </bottom>
      <diagonal/>
    </border>
    <border>
      <left style="thin">
        <color indexed="64"/>
      </left>
      <right style="medium">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0" tint="-0.14996795556505021"/>
      </bottom>
      <diagonal/>
    </border>
  </borders>
  <cellStyleXfs count="8">
    <xf numFmtId="0" fontId="0" fillId="0" borderId="0"/>
    <xf numFmtId="43" fontId="2" fillId="0" borderId="0" applyFont="0" applyFill="0" applyBorder="0" applyAlignment="0" applyProtection="0"/>
    <xf numFmtId="44" fontId="2" fillId="0" borderId="0" applyFont="0" applyFill="0" applyBorder="0" applyAlignment="0" applyProtection="0"/>
    <xf numFmtId="0" fontId="8" fillId="0" borderId="0" applyNumberFormat="0" applyFill="0" applyBorder="0" applyAlignment="0" applyProtection="0">
      <alignment vertical="top"/>
      <protection locked="0"/>
    </xf>
    <xf numFmtId="0" fontId="2" fillId="0" borderId="0"/>
    <xf numFmtId="0" fontId="41" fillId="0" borderId="0"/>
    <xf numFmtId="44" fontId="1" fillId="0" borderId="0" applyFont="0" applyFill="0" applyBorder="0" applyAlignment="0" applyProtection="0"/>
    <xf numFmtId="0" fontId="1" fillId="0" borderId="0"/>
  </cellStyleXfs>
  <cellXfs count="192">
    <xf numFmtId="0" fontId="0" fillId="0" borderId="0" xfId="0"/>
    <xf numFmtId="0" fontId="0" fillId="0" borderId="0" xfId="0" applyProtection="1">
      <protection locked="0"/>
    </xf>
    <xf numFmtId="0" fontId="0" fillId="0" borderId="0" xfId="0" applyAlignment="1" applyProtection="1">
      <alignment horizontal="left"/>
      <protection locked="0"/>
    </xf>
    <xf numFmtId="0" fontId="0" fillId="0" borderId="1" xfId="0" applyBorder="1"/>
    <xf numFmtId="49" fontId="0" fillId="0" borderId="0" xfId="0" applyNumberFormat="1"/>
    <xf numFmtId="0" fontId="20" fillId="0" borderId="0" xfId="0" applyFont="1" applyAlignment="1">
      <alignment vertical="top"/>
    </xf>
    <xf numFmtId="0" fontId="0" fillId="0" borderId="0" xfId="0" applyAlignment="1">
      <alignment vertical="top"/>
    </xf>
    <xf numFmtId="49" fontId="0" fillId="0" borderId="0" xfId="0" applyNumberFormat="1" applyProtection="1">
      <protection locked="0"/>
    </xf>
    <xf numFmtId="0" fontId="9" fillId="0" borderId="0" xfId="0" applyFont="1" applyProtection="1">
      <protection locked="0"/>
    </xf>
    <xf numFmtId="0" fontId="10" fillId="0" borderId="0" xfId="0" applyFont="1" applyProtection="1">
      <protection locked="0"/>
    </xf>
    <xf numFmtId="0" fontId="10" fillId="0" borderId="0" xfId="0" applyFont="1" applyAlignment="1" applyProtection="1">
      <alignment vertical="center"/>
      <protection locked="0"/>
    </xf>
    <xf numFmtId="0" fontId="10" fillId="0" borderId="0" xfId="0" applyFont="1" applyAlignment="1" applyProtection="1">
      <alignment horizontal="right"/>
      <protection locked="0"/>
    </xf>
    <xf numFmtId="0" fontId="43" fillId="0" borderId="0" xfId="0" applyFont="1" applyProtection="1">
      <protection locked="0"/>
    </xf>
    <xf numFmtId="0" fontId="32" fillId="0" borderId="0" xfId="0" applyFont="1" applyAlignment="1" applyProtection="1">
      <alignment horizontal="right"/>
      <protection locked="0"/>
    </xf>
    <xf numFmtId="0" fontId="2" fillId="0" borderId="0" xfId="0" applyFont="1" applyProtection="1">
      <protection locked="0"/>
    </xf>
    <xf numFmtId="49" fontId="0" fillId="0" borderId="0" xfId="0" applyNumberFormat="1" applyAlignment="1" applyProtection="1">
      <alignment horizontal="right"/>
      <protection locked="0"/>
    </xf>
    <xf numFmtId="0" fontId="46" fillId="0" borderId="0" xfId="0" applyFont="1" applyAlignment="1" applyProtection="1">
      <alignment horizontal="left"/>
      <protection locked="0"/>
    </xf>
    <xf numFmtId="0" fontId="13" fillId="0" borderId="0" xfId="0" applyFont="1" applyAlignment="1" applyProtection="1">
      <alignment horizontal="right"/>
      <protection locked="0"/>
    </xf>
    <xf numFmtId="0" fontId="3" fillId="0" borderId="0" xfId="0" applyFont="1" applyAlignment="1" applyProtection="1">
      <alignment horizontal="right"/>
      <protection locked="0"/>
    </xf>
    <xf numFmtId="0" fontId="0" fillId="0" borderId="0" xfId="0" applyAlignment="1" applyProtection="1">
      <alignment horizontal="left" vertical="top"/>
      <protection locked="0"/>
    </xf>
    <xf numFmtId="0" fontId="0" fillId="0" borderId="0" xfId="0" applyAlignment="1" applyProtection="1">
      <alignment vertical="top"/>
      <protection locked="0"/>
    </xf>
    <xf numFmtId="0" fontId="0" fillId="4" borderId="0" xfId="0" applyFill="1" applyProtection="1">
      <protection locked="0"/>
    </xf>
    <xf numFmtId="0" fontId="0" fillId="5" borderId="0" xfId="0" applyFill="1" applyProtection="1">
      <protection locked="0"/>
    </xf>
    <xf numFmtId="0" fontId="5" fillId="0" borderId="0" xfId="0" applyFont="1" applyAlignment="1">
      <alignment horizontal="left"/>
    </xf>
    <xf numFmtId="0" fontId="3" fillId="0" borderId="10" xfId="0" applyFont="1" applyBorder="1" applyAlignment="1">
      <alignment horizontal="center"/>
    </xf>
    <xf numFmtId="0" fontId="0" fillId="0" borderId="0" xfId="0" applyAlignment="1">
      <alignment vertical="top" wrapText="1"/>
    </xf>
    <xf numFmtId="0" fontId="0" fillId="6" borderId="0" xfId="0" applyFill="1" applyProtection="1">
      <protection locked="0"/>
    </xf>
    <xf numFmtId="0" fontId="0" fillId="6" borderId="0" xfId="0" applyFill="1" applyAlignment="1" applyProtection="1">
      <alignment vertical="center"/>
      <protection locked="0"/>
    </xf>
    <xf numFmtId="164" fontId="2" fillId="6" borderId="0" xfId="0" applyNumberFormat="1" applyFont="1" applyFill="1" applyAlignment="1" applyProtection="1">
      <alignment horizontal="left"/>
      <protection locked="0"/>
    </xf>
    <xf numFmtId="0" fontId="0" fillId="6" borderId="0" xfId="0" applyFill="1" applyAlignment="1" applyProtection="1">
      <alignment horizontal="left" vertical="center" wrapText="1"/>
      <protection locked="0"/>
    </xf>
    <xf numFmtId="0" fontId="18" fillId="6" borderId="0" xfId="0" applyFont="1" applyFill="1" applyAlignment="1" applyProtection="1">
      <alignment horizontal="center"/>
      <protection locked="0"/>
    </xf>
    <xf numFmtId="4" fontId="2" fillId="6" borderId="0" xfId="2" applyNumberFormat="1" applyFont="1" applyFill="1" applyBorder="1" applyAlignment="1" applyProtection="1">
      <alignment vertical="center"/>
      <protection locked="0"/>
    </xf>
    <xf numFmtId="4" fontId="2" fillId="6" borderId="0" xfId="2" applyNumberFormat="1" applyFont="1" applyFill="1" applyBorder="1" applyAlignment="1" applyProtection="1">
      <alignment vertical="top"/>
      <protection locked="0"/>
    </xf>
    <xf numFmtId="4" fontId="2" fillId="6" borderId="0" xfId="1" applyNumberFormat="1" applyFont="1" applyFill="1" applyBorder="1" applyAlignment="1" applyProtection="1">
      <alignment horizontal="right"/>
      <protection locked="0"/>
    </xf>
    <xf numFmtId="10" fontId="2" fillId="6" borderId="0" xfId="1" applyNumberFormat="1" applyFont="1" applyFill="1" applyBorder="1" applyAlignment="1" applyProtection="1">
      <alignment horizontal="right"/>
      <protection locked="0"/>
    </xf>
    <xf numFmtId="44" fontId="3" fillId="6" borderId="0" xfId="2" applyFont="1" applyFill="1" applyBorder="1" applyProtection="1">
      <protection locked="0"/>
    </xf>
    <xf numFmtId="0" fontId="0" fillId="6" borderId="0" xfId="0" applyFill="1" applyAlignment="1" applyProtection="1">
      <alignment vertical="top"/>
      <protection locked="0"/>
    </xf>
    <xf numFmtId="0" fontId="4" fillId="0" borderId="0" xfId="0" applyFont="1" applyAlignment="1" applyProtection="1">
      <alignment horizontal="left" vertical="center"/>
      <protection locked="0"/>
    </xf>
    <xf numFmtId="0" fontId="0" fillId="6" borderId="0" xfId="0" applyFill="1" applyAlignment="1" applyProtection="1">
      <alignment horizontal="center" vertical="center"/>
      <protection locked="0"/>
    </xf>
    <xf numFmtId="0" fontId="49" fillId="6" borderId="0" xfId="0" applyFont="1" applyFill="1" applyAlignment="1" applyProtection="1">
      <alignment horizontal="center" vertical="center"/>
      <protection locked="0"/>
    </xf>
    <xf numFmtId="0" fontId="15" fillId="6" borderId="0" xfId="3" applyNumberFormat="1" applyFont="1" applyFill="1" applyBorder="1" applyAlignment="1" applyProtection="1">
      <alignment horizontal="center"/>
      <protection locked="0"/>
    </xf>
    <xf numFmtId="0" fontId="51" fillId="6" borderId="0" xfId="0" applyFont="1" applyFill="1" applyAlignment="1" applyProtection="1">
      <alignment horizontal="center"/>
      <protection locked="0"/>
    </xf>
    <xf numFmtId="0" fontId="50" fillId="6" borderId="0" xfId="3" applyNumberFormat="1" applyFont="1" applyFill="1" applyBorder="1" applyAlignment="1" applyProtection="1">
      <alignment horizontal="center"/>
      <protection locked="0"/>
    </xf>
    <xf numFmtId="0" fontId="7" fillId="6" borderId="0" xfId="0" applyFont="1" applyFill="1" applyProtection="1">
      <protection locked="0"/>
    </xf>
    <xf numFmtId="166" fontId="18" fillId="6" borderId="0" xfId="0" applyNumberFormat="1" applyFont="1" applyFill="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Alignment="1" applyProtection="1">
      <alignment horizontal="center"/>
      <protection locked="0"/>
    </xf>
    <xf numFmtId="0" fontId="3" fillId="0" borderId="0" xfId="0" applyFont="1" applyProtection="1">
      <protection locked="0"/>
    </xf>
    <xf numFmtId="0" fontId="17" fillId="6" borderId="0" xfId="0" applyFont="1" applyFill="1" applyAlignment="1" applyProtection="1">
      <alignment horizontal="center" vertical="center"/>
      <protection locked="0"/>
    </xf>
    <xf numFmtId="4" fontId="39" fillId="6" borderId="0" xfId="2" applyNumberFormat="1" applyFont="1" applyFill="1" applyBorder="1" applyAlignment="1" applyProtection="1">
      <alignment vertical="center"/>
      <protection locked="0"/>
    </xf>
    <xf numFmtId="4" fontId="46" fillId="0" borderId="0" xfId="0" applyNumberFormat="1" applyFont="1" applyProtection="1">
      <protection locked="0"/>
    </xf>
    <xf numFmtId="4" fontId="3" fillId="6" borderId="0" xfId="1" applyNumberFormat="1" applyFont="1" applyFill="1" applyBorder="1" applyAlignment="1" applyProtection="1">
      <alignment horizontal="right"/>
      <protection locked="0"/>
    </xf>
    <xf numFmtId="0" fontId="26" fillId="6" borderId="0" xfId="0" applyFont="1" applyFill="1" applyAlignment="1" applyProtection="1">
      <alignment horizontal="center"/>
      <protection locked="0"/>
    </xf>
    <xf numFmtId="0" fontId="0" fillId="6" borderId="0" xfId="0" applyFill="1" applyAlignment="1" applyProtection="1">
      <alignment horizontal="left" vertical="top" wrapText="1"/>
      <protection locked="0"/>
    </xf>
    <xf numFmtId="165" fontId="28" fillId="6" borderId="0" xfId="0" applyNumberFormat="1" applyFont="1" applyFill="1" applyAlignment="1" applyProtection="1">
      <alignment horizontal="center" vertical="center"/>
      <protection locked="0"/>
    </xf>
    <xf numFmtId="0" fontId="23" fillId="6" borderId="0" xfId="0" applyFont="1" applyFill="1" applyAlignment="1" applyProtection="1">
      <alignment horizontal="center" vertical="center"/>
      <protection locked="0"/>
    </xf>
    <xf numFmtId="0" fontId="12" fillId="6" borderId="0" xfId="0" applyFont="1" applyFill="1" applyAlignment="1" applyProtection="1">
      <alignment horizontal="center" vertical="top" wrapText="1"/>
      <protection locked="0"/>
    </xf>
    <xf numFmtId="0" fontId="3" fillId="6" borderId="0" xfId="0" applyFont="1" applyFill="1" applyAlignment="1" applyProtection="1">
      <alignment horizontal="left" vertical="top" wrapText="1"/>
      <protection locked="0"/>
    </xf>
    <xf numFmtId="0" fontId="0" fillId="6" borderId="0" xfId="0" applyFill="1" applyAlignment="1" applyProtection="1">
      <alignment vertical="top" wrapText="1"/>
      <protection locked="0"/>
    </xf>
    <xf numFmtId="0" fontId="0" fillId="6" borderId="0" xfId="0" applyFill="1" applyAlignment="1" applyProtection="1">
      <alignment horizontal="center" vertical="top" wrapText="1"/>
      <protection locked="0"/>
    </xf>
    <xf numFmtId="0" fontId="4" fillId="6" borderId="0" xfId="0" applyFont="1" applyFill="1" applyAlignment="1" applyProtection="1">
      <alignment vertical="top" wrapText="1"/>
      <protection locked="0"/>
    </xf>
    <xf numFmtId="0" fontId="7" fillId="0" borderId="14" xfId="4" applyFont="1" applyBorder="1" applyAlignment="1" applyProtection="1">
      <alignment horizontal="center" vertical="center"/>
      <protection locked="0"/>
    </xf>
    <xf numFmtId="49" fontId="7" fillId="0" borderId="19" xfId="0" applyNumberFormat="1" applyFont="1" applyBorder="1" applyAlignment="1">
      <alignment horizontal="center" vertical="center"/>
    </xf>
    <xf numFmtId="0" fontId="17" fillId="0" borderId="20" xfId="0" applyFont="1" applyBorder="1" applyAlignment="1">
      <alignment horizontal="center" vertical="center" wrapText="1"/>
    </xf>
    <xf numFmtId="0" fontId="17" fillId="0" borderId="19" xfId="0" applyFont="1" applyBorder="1" applyAlignment="1">
      <alignment horizontal="center" vertical="center"/>
    </xf>
    <xf numFmtId="0" fontId="17" fillId="0" borderId="19" xfId="0" applyFont="1" applyBorder="1" applyAlignment="1">
      <alignment horizontal="center" vertical="center" wrapText="1"/>
    </xf>
    <xf numFmtId="0" fontId="7" fillId="0" borderId="13" xfId="0" applyFont="1" applyBorder="1" applyAlignment="1" applyProtection="1">
      <alignment horizontal="left" wrapText="1"/>
      <protection locked="0"/>
    </xf>
    <xf numFmtId="0" fontId="17" fillId="7" borderId="21" xfId="0" applyFont="1" applyFill="1" applyBorder="1" applyAlignment="1">
      <alignment horizontal="center" vertical="center"/>
    </xf>
    <xf numFmtId="0" fontId="31" fillId="0" borderId="0" xfId="0" applyFont="1" applyAlignment="1">
      <alignment horizontal="left"/>
    </xf>
    <xf numFmtId="164" fontId="6" fillId="0" borderId="0" xfId="0" applyNumberFormat="1" applyFont="1" applyAlignment="1">
      <alignment horizontal="left"/>
    </xf>
    <xf numFmtId="4" fontId="44" fillId="0" borderId="0" xfId="0" applyNumberFormat="1" applyFont="1" applyProtection="1">
      <protection locked="0"/>
    </xf>
    <xf numFmtId="0" fontId="45" fillId="0" borderId="0" xfId="0" applyFont="1" applyAlignment="1" applyProtection="1">
      <alignment horizontal="left"/>
      <protection locked="0"/>
    </xf>
    <xf numFmtId="49" fontId="10" fillId="0" borderId="0" xfId="0" applyNumberFormat="1" applyFont="1"/>
    <xf numFmtId="164" fontId="2" fillId="0" borderId="0" xfId="0" applyNumberFormat="1" applyFont="1" applyAlignment="1" applyProtection="1">
      <alignment horizontal="left"/>
      <protection locked="0"/>
    </xf>
    <xf numFmtId="49" fontId="7" fillId="0" borderId="0" xfId="0" applyNumberFormat="1" applyFont="1"/>
    <xf numFmtId="0" fontId="10" fillId="0" borderId="0" xfId="0" applyFont="1" applyAlignment="1">
      <alignment horizontal="right"/>
    </xf>
    <xf numFmtId="49" fontId="0" fillId="0" borderId="0" xfId="0" applyNumberFormat="1" applyAlignment="1">
      <alignment horizontal="right" vertical="top"/>
    </xf>
    <xf numFmtId="9" fontId="0" fillId="0" borderId="0" xfId="0" applyNumberFormat="1" applyAlignment="1">
      <alignment horizontal="left" vertical="top"/>
    </xf>
    <xf numFmtId="165" fontId="28" fillId="2" borderId="0" xfId="0" applyNumberFormat="1" applyFont="1" applyFill="1" applyAlignment="1">
      <alignment horizontal="center" vertical="center"/>
    </xf>
    <xf numFmtId="0" fontId="10" fillId="0" borderId="0" xfId="0" applyFont="1" applyAlignment="1">
      <alignment horizontal="left" vertical="top"/>
    </xf>
    <xf numFmtId="9" fontId="24" fillId="0" borderId="0" xfId="0" applyNumberFormat="1" applyFont="1" applyAlignment="1">
      <alignment horizontal="left" vertical="top"/>
    </xf>
    <xf numFmtId="0" fontId="23" fillId="0" borderId="0" xfId="0" applyFont="1" applyAlignment="1">
      <alignment horizontal="center" vertical="center"/>
    </xf>
    <xf numFmtId="0" fontId="0" fillId="0" borderId="0" xfId="0" applyAlignment="1">
      <alignment horizontal="left" vertical="top"/>
    </xf>
    <xf numFmtId="0" fontId="4" fillId="0" borderId="0" xfId="0" applyFont="1" applyAlignment="1">
      <alignment vertical="top"/>
    </xf>
    <xf numFmtId="0" fontId="20" fillId="0" borderId="0" xfId="3" applyFont="1" applyFill="1" applyBorder="1" applyAlignment="1" applyProtection="1">
      <protection locked="0"/>
    </xf>
    <xf numFmtId="0" fontId="36" fillId="0" borderId="0" xfId="3" applyFont="1" applyFill="1" applyBorder="1" applyAlignment="1" applyProtection="1">
      <protection locked="0"/>
    </xf>
    <xf numFmtId="0" fontId="0" fillId="0" borderId="0" xfId="0" applyAlignment="1" applyProtection="1">
      <alignment horizontal="center" vertical="center"/>
      <protection locked="0"/>
    </xf>
    <xf numFmtId="0" fontId="11" fillId="0" borderId="0" xfId="0" applyFont="1" applyAlignment="1" applyProtection="1">
      <alignment vertical="center"/>
      <protection locked="0"/>
    </xf>
    <xf numFmtId="49" fontId="0" fillId="0" borderId="9" xfId="0" applyNumberFormat="1" applyBorder="1" applyProtection="1">
      <protection locked="0"/>
    </xf>
    <xf numFmtId="0" fontId="7" fillId="0" borderId="0" xfId="0" applyFont="1" applyAlignment="1" applyProtection="1">
      <alignment horizontal="left"/>
      <protection locked="0"/>
    </xf>
    <xf numFmtId="0" fontId="7" fillId="0" borderId="8" xfId="0" applyFont="1" applyBorder="1" applyProtection="1">
      <protection locked="0"/>
    </xf>
    <xf numFmtId="166" fontId="53" fillId="0" borderId="5" xfId="0" applyNumberFormat="1" applyFont="1" applyBorder="1" applyAlignment="1" applyProtection="1">
      <alignment horizontal="center"/>
      <protection locked="0"/>
    </xf>
    <xf numFmtId="0" fontId="21" fillId="0" borderId="0" xfId="0" applyFont="1" applyAlignment="1" applyProtection="1">
      <alignment vertical="center"/>
      <protection locked="0"/>
    </xf>
    <xf numFmtId="0" fontId="18" fillId="0" borderId="0" xfId="0" applyFont="1" applyAlignment="1" applyProtection="1">
      <alignment horizontal="center"/>
      <protection locked="0"/>
    </xf>
    <xf numFmtId="49" fontId="16" fillId="0" borderId="0" xfId="0" applyNumberFormat="1" applyFont="1" applyAlignment="1" applyProtection="1">
      <alignment horizontal="center" vertical="top" wrapText="1"/>
      <protection locked="0"/>
    </xf>
    <xf numFmtId="1" fontId="7" fillId="0" borderId="15" xfId="0" applyNumberFormat="1" applyFont="1" applyBorder="1" applyAlignment="1" applyProtection="1">
      <alignment horizontal="center" vertical="center"/>
      <protection locked="0"/>
    </xf>
    <xf numFmtId="0" fontId="17" fillId="0" borderId="13" xfId="0" applyFont="1" applyBorder="1" applyAlignment="1" applyProtection="1">
      <alignment horizontal="center" vertical="center" wrapText="1"/>
      <protection locked="0"/>
    </xf>
    <xf numFmtId="0" fontId="17" fillId="0" borderId="13" xfId="0" applyFont="1" applyBorder="1" applyAlignment="1" applyProtection="1">
      <alignment horizontal="center" vertical="center"/>
      <protection locked="0"/>
    </xf>
    <xf numFmtId="0" fontId="0" fillId="6" borderId="0" xfId="0" applyFill="1" applyAlignment="1">
      <alignment horizontal="left" vertical="center" wrapText="1"/>
    </xf>
    <xf numFmtId="0" fontId="21" fillId="0" borderId="0" xfId="0" applyFont="1" applyAlignment="1" applyProtection="1">
      <alignment horizontal="right" vertical="center"/>
      <protection locked="0"/>
    </xf>
    <xf numFmtId="49" fontId="0" fillId="0" borderId="1" xfId="0" applyNumberFormat="1" applyBorder="1" applyProtection="1">
      <protection locked="0"/>
    </xf>
    <xf numFmtId="0" fontId="20" fillId="0" borderId="1" xfId="0" applyFont="1" applyBorder="1" applyAlignment="1" applyProtection="1">
      <alignment vertical="top"/>
      <protection locked="0"/>
    </xf>
    <xf numFmtId="166" fontId="48" fillId="3" borderId="16" xfId="0" applyNumberFormat="1" applyFont="1" applyFill="1" applyBorder="1" applyAlignment="1" applyProtection="1">
      <alignment horizontal="center" vertical="center"/>
      <protection locked="0"/>
    </xf>
    <xf numFmtId="0" fontId="18" fillId="0" borderId="0" xfId="0" applyFont="1" applyAlignment="1" applyProtection="1">
      <alignment horizontal="left"/>
      <protection locked="0"/>
    </xf>
    <xf numFmtId="0" fontId="22" fillId="0" borderId="0" xfId="0" applyFont="1" applyAlignment="1" applyProtection="1">
      <alignment horizontal="left"/>
      <protection locked="0"/>
    </xf>
    <xf numFmtId="0" fontId="3" fillId="0" borderId="0" xfId="0" applyFont="1" applyAlignment="1" applyProtection="1">
      <alignment vertical="top"/>
      <protection locked="0"/>
    </xf>
    <xf numFmtId="0" fontId="0" fillId="0" borderId="0" xfId="0" applyAlignment="1">
      <alignment horizontal="left" vertical="top" wrapText="1"/>
    </xf>
    <xf numFmtId="0" fontId="3" fillId="0" borderId="0" xfId="0" applyFont="1" applyAlignment="1">
      <alignment horizontal="left" vertical="top" wrapText="1"/>
    </xf>
    <xf numFmtId="0" fontId="4" fillId="0" borderId="0" xfId="0" applyFont="1" applyAlignment="1">
      <alignment vertical="top" wrapText="1"/>
    </xf>
    <xf numFmtId="4" fontId="10" fillId="0" borderId="0" xfId="0" applyNumberFormat="1" applyFont="1" applyProtection="1">
      <protection locked="0"/>
    </xf>
    <xf numFmtId="0" fontId="19" fillId="0" borderId="0" xfId="0" applyFont="1" applyAlignment="1" applyProtection="1">
      <alignment horizontal="left" vertical="center" wrapText="1"/>
      <protection locked="0"/>
    </xf>
    <xf numFmtId="0" fontId="15" fillId="0" borderId="0" xfId="0" applyFont="1" applyAlignment="1" applyProtection="1">
      <alignment horizontal="left"/>
      <protection locked="0"/>
    </xf>
    <xf numFmtId="0" fontId="13" fillId="0" borderId="0" xfId="0" applyFont="1" applyAlignment="1" applyProtection="1">
      <alignment horizontal="left"/>
      <protection locked="0"/>
    </xf>
    <xf numFmtId="4" fontId="3" fillId="0" borderId="0" xfId="1" applyNumberFormat="1" applyFont="1" applyBorder="1" applyAlignment="1" applyProtection="1">
      <alignment horizontal="right"/>
    </xf>
    <xf numFmtId="0" fontId="0" fillId="0" borderId="0" xfId="0" applyAlignment="1">
      <alignment horizontal="left" vertical="center" wrapText="1"/>
    </xf>
    <xf numFmtId="4" fontId="2" fillId="0" borderId="0" xfId="1" applyNumberFormat="1" applyFont="1" applyBorder="1" applyAlignment="1" applyProtection="1">
      <alignment horizontal="right"/>
      <protection locked="0"/>
    </xf>
    <xf numFmtId="4" fontId="2" fillId="0" borderId="2" xfId="1" applyNumberFormat="1" applyFont="1" applyBorder="1" applyAlignment="1" applyProtection="1">
      <alignment horizontal="right"/>
      <protection locked="0"/>
    </xf>
    <xf numFmtId="9" fontId="27" fillId="0" borderId="1" xfId="0" applyNumberFormat="1" applyFont="1" applyBorder="1" applyAlignment="1" applyProtection="1">
      <alignment horizontal="center" vertical="top"/>
      <protection locked="0"/>
    </xf>
    <xf numFmtId="0" fontId="7" fillId="0" borderId="0" xfId="0" applyFont="1" applyAlignment="1" applyProtection="1">
      <alignment horizontal="center" vertical="top" wrapText="1"/>
      <protection locked="0"/>
    </xf>
    <xf numFmtId="0" fontId="2" fillId="0" borderId="0" xfId="4" applyAlignment="1" applyProtection="1">
      <alignment horizontal="center" vertical="center"/>
      <protection locked="0"/>
    </xf>
    <xf numFmtId="4" fontId="2" fillId="0" borderId="0" xfId="0" applyNumberFormat="1" applyFont="1" applyAlignment="1" applyProtection="1">
      <alignment vertical="center"/>
      <protection locked="0"/>
    </xf>
    <xf numFmtId="0" fontId="52" fillId="0" borderId="3" xfId="0" applyFont="1" applyBorder="1" applyAlignment="1" applyProtection="1">
      <alignment horizontal="center" wrapText="1"/>
      <protection locked="0"/>
    </xf>
    <xf numFmtId="0" fontId="47" fillId="0" borderId="3" xfId="0" applyFont="1" applyBorder="1" applyAlignment="1" applyProtection="1">
      <alignment horizontal="left" wrapText="1"/>
      <protection locked="0"/>
    </xf>
    <xf numFmtId="0" fontId="38" fillId="0" borderId="3" xfId="4" applyFont="1" applyBorder="1" applyAlignment="1" applyProtection="1">
      <alignment horizontal="center" vertical="center"/>
      <protection locked="0"/>
    </xf>
    <xf numFmtId="4" fontId="40" fillId="0" borderId="3" xfId="0" applyNumberFormat="1" applyFont="1" applyBorder="1" applyAlignment="1" applyProtection="1">
      <alignment horizontal="right" vertical="center"/>
      <protection locked="0"/>
    </xf>
    <xf numFmtId="4" fontId="39" fillId="0" borderId="3" xfId="2" applyNumberFormat="1" applyFont="1" applyFill="1" applyBorder="1" applyAlignment="1" applyProtection="1">
      <alignment vertical="center"/>
    </xf>
    <xf numFmtId="1" fontId="7" fillId="7" borderId="12" xfId="0" applyNumberFormat="1" applyFont="1" applyFill="1" applyBorder="1" applyAlignment="1" applyProtection="1">
      <alignment horizontal="center" vertical="center"/>
      <protection locked="0"/>
    </xf>
    <xf numFmtId="0" fontId="7" fillId="7" borderId="14" xfId="0" applyFont="1" applyFill="1" applyBorder="1" applyAlignment="1" applyProtection="1">
      <alignment horizontal="center" vertical="center" wrapText="1"/>
      <protection locked="0"/>
    </xf>
    <xf numFmtId="0" fontId="7" fillId="7" borderId="14" xfId="0" applyFont="1" applyFill="1" applyBorder="1" applyAlignment="1" applyProtection="1">
      <alignment horizontal="left" vertical="center" wrapText="1"/>
      <protection locked="0"/>
    </xf>
    <xf numFmtId="0" fontId="7" fillId="7" borderId="14" xfId="4" applyFont="1" applyFill="1" applyBorder="1" applyAlignment="1" applyProtection="1">
      <alignment horizontal="center" vertical="center"/>
      <protection locked="0"/>
    </xf>
    <xf numFmtId="4" fontId="7" fillId="7" borderId="14" xfId="0" applyNumberFormat="1" applyFont="1" applyFill="1" applyBorder="1" applyAlignment="1" applyProtection="1">
      <alignment vertical="center"/>
      <protection locked="0"/>
    </xf>
    <xf numFmtId="49" fontId="37" fillId="0" borderId="3" xfId="0" applyNumberFormat="1" applyFont="1" applyBorder="1" applyAlignment="1" applyProtection="1">
      <alignment horizontal="center" vertical="top"/>
      <protection locked="0"/>
    </xf>
    <xf numFmtId="4" fontId="2" fillId="7" borderId="14" xfId="2" applyNumberFormat="1" applyFont="1" applyFill="1" applyBorder="1" applyAlignment="1" applyProtection="1">
      <alignment vertical="center"/>
    </xf>
    <xf numFmtId="0" fontId="10" fillId="0" borderId="9" xfId="0" applyFont="1" applyBorder="1" applyAlignment="1">
      <alignment horizontal="center"/>
    </xf>
    <xf numFmtId="0" fontId="50" fillId="0" borderId="10" xfId="3" applyNumberFormat="1" applyFont="1" applyBorder="1" applyAlignment="1" applyProtection="1">
      <alignment horizontal="center"/>
    </xf>
    <xf numFmtId="0" fontId="10" fillId="0" borderId="10" xfId="0" applyFont="1" applyBorder="1" applyAlignment="1">
      <alignment horizontal="center"/>
    </xf>
    <xf numFmtId="166" fontId="10" fillId="0" borderId="4" xfId="3" applyNumberFormat="1" applyFont="1" applyFill="1" applyBorder="1" applyAlignment="1" applyProtection="1">
      <alignment horizontal="center"/>
    </xf>
    <xf numFmtId="0" fontId="26" fillId="0" borderId="0" xfId="0" applyFont="1"/>
    <xf numFmtId="0" fontId="25" fillId="0" borderId="1" xfId="0" applyFont="1" applyBorder="1" applyAlignment="1" applyProtection="1">
      <alignment horizontal="left" vertical="center" wrapText="1"/>
      <protection locked="0"/>
    </xf>
    <xf numFmtId="0" fontId="25" fillId="0" borderId="0" xfId="0" applyFont="1" applyAlignment="1">
      <alignment horizontal="left" vertical="center" wrapText="1"/>
    </xf>
    <xf numFmtId="0" fontId="25" fillId="0" borderId="0" xfId="0" applyFont="1" applyAlignment="1">
      <alignment horizontal="right" vertical="center" wrapText="1"/>
    </xf>
    <xf numFmtId="4" fontId="0" fillId="0" borderId="0" xfId="1" applyNumberFormat="1" applyFont="1" applyBorder="1" applyAlignment="1" applyProtection="1">
      <alignment horizontal="right"/>
    </xf>
    <xf numFmtId="0" fontId="55" fillId="8" borderId="22" xfId="0" applyFont="1" applyFill="1" applyBorder="1" applyAlignment="1">
      <alignment horizontal="left" vertical="center" wrapText="1"/>
    </xf>
    <xf numFmtId="4" fontId="7" fillId="8" borderId="22" xfId="0" applyNumberFormat="1" applyFont="1" applyFill="1" applyBorder="1" applyAlignment="1" applyProtection="1">
      <alignment vertical="center"/>
      <protection locked="0"/>
    </xf>
    <xf numFmtId="0" fontId="57" fillId="7" borderId="22" xfId="0" applyFont="1" applyFill="1" applyBorder="1" applyAlignment="1">
      <alignment horizontal="left" vertical="center" wrapText="1"/>
    </xf>
    <xf numFmtId="167" fontId="2" fillId="0" borderId="0" xfId="1" applyNumberFormat="1" applyFont="1" applyBorder="1" applyAlignment="1" applyProtection="1">
      <alignment horizontal="right"/>
    </xf>
    <xf numFmtId="0" fontId="57" fillId="7" borderId="22" xfId="0" quotePrefix="1" applyFont="1" applyFill="1" applyBorder="1" applyAlignment="1">
      <alignment horizontal="left" vertical="center" wrapText="1"/>
    </xf>
    <xf numFmtId="0" fontId="7" fillId="7" borderId="14" xfId="7" applyFont="1" applyFill="1" applyBorder="1" applyAlignment="1" applyProtection="1">
      <alignment horizontal="center" vertical="center" wrapText="1"/>
      <protection locked="0"/>
    </xf>
    <xf numFmtId="0" fontId="7" fillId="7" borderId="14" xfId="7" applyFont="1" applyFill="1" applyBorder="1" applyAlignment="1" applyProtection="1">
      <alignment horizontal="left" vertical="center" wrapText="1"/>
      <protection locked="0"/>
    </xf>
    <xf numFmtId="4" fontId="7" fillId="7" borderId="14" xfId="7" applyNumberFormat="1" applyFont="1" applyFill="1" applyBorder="1" applyAlignment="1" applyProtection="1">
      <alignment vertical="center"/>
      <protection locked="0"/>
    </xf>
    <xf numFmtId="0" fontId="7" fillId="0" borderId="14" xfId="7" applyFont="1" applyBorder="1" applyAlignment="1" applyProtection="1">
      <alignment horizontal="center" vertical="center" wrapText="1"/>
      <protection locked="0"/>
    </xf>
    <xf numFmtId="0" fontId="7" fillId="0" borderId="14" xfId="7" applyFont="1" applyBorder="1" applyAlignment="1" applyProtection="1">
      <alignment horizontal="left" vertical="center" wrapText="1"/>
      <protection locked="0"/>
    </xf>
    <xf numFmtId="4" fontId="7" fillId="0" borderId="14" xfId="7" applyNumberFormat="1" applyFont="1" applyBorder="1" applyAlignment="1" applyProtection="1">
      <alignment vertical="center"/>
      <protection locked="0"/>
    </xf>
    <xf numFmtId="49" fontId="10" fillId="0" borderId="6" xfId="0" applyNumberFormat="1" applyFont="1" applyBorder="1" applyProtection="1">
      <protection locked="0"/>
    </xf>
    <xf numFmtId="0" fontId="0" fillId="0" borderId="6" xfId="0" applyBorder="1" applyProtection="1">
      <protection locked="0"/>
    </xf>
    <xf numFmtId="44" fontId="3" fillId="0" borderId="6" xfId="2" applyFont="1" applyBorder="1" applyAlignment="1" applyProtection="1">
      <alignment horizontal="right"/>
      <protection locked="0"/>
    </xf>
    <xf numFmtId="44" fontId="3" fillId="0" borderId="6" xfId="2" applyFont="1" applyBorder="1" applyProtection="1">
      <protection locked="0"/>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left" vertical="center" wrapText="1"/>
    </xf>
    <xf numFmtId="0" fontId="10" fillId="0" borderId="1" xfId="0" applyFont="1" applyBorder="1" applyAlignment="1" applyProtection="1">
      <alignment horizontal="left" vertical="top" wrapText="1"/>
      <protection locked="0"/>
    </xf>
    <xf numFmtId="0" fontId="3" fillId="0" borderId="0" xfId="0" applyFont="1" applyAlignment="1">
      <alignment horizontal="left" vertical="top" wrapText="1"/>
    </xf>
    <xf numFmtId="0" fontId="42" fillId="0" borderId="0" xfId="0" applyFont="1" applyAlignment="1">
      <alignment horizontal="center" vertical="top" wrapText="1"/>
    </xf>
    <xf numFmtId="0" fontId="0" fillId="0" borderId="0" xfId="0" applyAlignment="1">
      <alignment horizontal="left" vertical="top"/>
    </xf>
    <xf numFmtId="166" fontId="18" fillId="0" borderId="6" xfId="0" applyNumberFormat="1" applyFont="1" applyBorder="1" applyAlignment="1">
      <alignment horizontal="center"/>
    </xf>
    <xf numFmtId="166" fontId="18" fillId="0" borderId="7" xfId="0" applyNumberFormat="1" applyFont="1" applyBorder="1" applyAlignment="1">
      <alignment horizontal="center"/>
    </xf>
    <xf numFmtId="166" fontId="48" fillId="3" borderId="17" xfId="0" applyNumberFormat="1" applyFont="1" applyFill="1" applyBorder="1" applyAlignment="1" applyProtection="1">
      <alignment horizontal="left" vertical="center"/>
      <protection locked="0"/>
    </xf>
    <xf numFmtId="166" fontId="48" fillId="3" borderId="11" xfId="0" applyNumberFormat="1" applyFont="1" applyFill="1" applyBorder="1" applyAlignment="1" applyProtection="1">
      <alignment horizontal="left" vertical="center"/>
      <protection locked="0"/>
    </xf>
    <xf numFmtId="0" fontId="18" fillId="0" borderId="9" xfId="0" applyFont="1" applyBorder="1" applyAlignment="1">
      <alignment horizontal="center"/>
    </xf>
    <xf numFmtId="0" fontId="18" fillId="0" borderId="0" xfId="0" applyFont="1" applyAlignment="1">
      <alignment horizontal="center"/>
    </xf>
    <xf numFmtId="0" fontId="10" fillId="0" borderId="0" xfId="0" applyFont="1" applyAlignment="1">
      <alignment horizontal="left"/>
    </xf>
    <xf numFmtId="0" fontId="10" fillId="0" borderId="9"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xf>
    <xf numFmtId="49" fontId="10" fillId="0" borderId="0" xfId="0" applyNumberFormat="1" applyFont="1" applyAlignment="1">
      <alignment horizontal="left" indent="2"/>
    </xf>
    <xf numFmtId="0" fontId="54" fillId="0" borderId="9" xfId="0" applyFont="1" applyBorder="1" applyAlignment="1">
      <alignment horizontal="center"/>
    </xf>
    <xf numFmtId="0" fontId="54" fillId="0" borderId="0" xfId="0" applyFont="1" applyAlignment="1">
      <alignment horizontal="center"/>
    </xf>
    <xf numFmtId="0" fontId="54" fillId="0" borderId="8" xfId="0" applyFont="1" applyBorder="1" applyAlignment="1">
      <alignment horizontal="center"/>
    </xf>
    <xf numFmtId="0" fontId="10" fillId="0" borderId="9" xfId="3" applyNumberFormat="1" applyFont="1" applyFill="1" applyBorder="1" applyAlignment="1" applyProtection="1">
      <alignment horizontal="center"/>
    </xf>
    <xf numFmtId="0" fontId="10" fillId="0" borderId="0" xfId="3" applyNumberFormat="1" applyFont="1" applyFill="1" applyBorder="1" applyAlignment="1" applyProtection="1">
      <alignment horizontal="center"/>
    </xf>
    <xf numFmtId="0" fontId="10" fillId="0" borderId="8" xfId="3" applyNumberFormat="1" applyFont="1" applyFill="1" applyBorder="1" applyAlignment="1" applyProtection="1">
      <alignment horizontal="center"/>
    </xf>
    <xf numFmtId="164" fontId="56" fillId="0" borderId="0" xfId="0" applyNumberFormat="1" applyFont="1" applyAlignment="1" applyProtection="1">
      <alignment horizontal="left"/>
      <protection locked="0"/>
    </xf>
    <xf numFmtId="0" fontId="25" fillId="0" borderId="1" xfId="0" applyFont="1" applyBorder="1" applyAlignment="1">
      <alignment horizontal="right" vertical="center" wrapText="1"/>
    </xf>
    <xf numFmtId="0" fontId="49" fillId="3" borderId="17" xfId="0" applyFont="1" applyFill="1" applyBorder="1" applyAlignment="1" applyProtection="1">
      <alignment horizontal="center" vertical="center"/>
      <protection locked="0"/>
    </xf>
    <xf numFmtId="0" fontId="49" fillId="3" borderId="11" xfId="0" applyFont="1" applyFill="1" applyBorder="1" applyAlignment="1" applyProtection="1">
      <alignment horizontal="center" vertical="center"/>
      <protection locked="0"/>
    </xf>
    <xf numFmtId="0" fontId="49" fillId="3" borderId="18" xfId="0" applyFont="1" applyFill="1" applyBorder="1" applyAlignment="1" applyProtection="1">
      <alignment horizontal="center" vertical="center"/>
      <protection locked="0"/>
    </xf>
    <xf numFmtId="0" fontId="18" fillId="0" borderId="9" xfId="3" applyNumberFormat="1" applyFont="1" applyBorder="1" applyAlignment="1" applyProtection="1">
      <alignment horizontal="center"/>
    </xf>
    <xf numFmtId="0" fontId="18" fillId="0" borderId="0" xfId="3" applyNumberFormat="1" applyFont="1" applyBorder="1" applyAlignment="1" applyProtection="1">
      <alignment horizontal="center"/>
    </xf>
    <xf numFmtId="0" fontId="18" fillId="0" borderId="8" xfId="3" applyNumberFormat="1" applyFont="1" applyBorder="1" applyAlignment="1" applyProtection="1">
      <alignment horizontal="center"/>
    </xf>
    <xf numFmtId="0" fontId="0" fillId="0" borderId="0" xfId="0" applyAlignment="1">
      <alignment horizontal="center" vertical="top" wrapText="1"/>
    </xf>
    <xf numFmtId="0" fontId="12" fillId="0" borderId="0" xfId="0" applyFont="1" applyAlignment="1">
      <alignment horizontal="center" vertical="top" wrapText="1"/>
    </xf>
    <xf numFmtId="0" fontId="0" fillId="0" borderId="0" xfId="0" applyAlignment="1" applyProtection="1">
      <alignment horizontal="center"/>
      <protection locked="0"/>
    </xf>
  </cellXfs>
  <cellStyles count="8">
    <cellStyle name="Comma" xfId="1" builtinId="3"/>
    <cellStyle name="Currency" xfId="2" builtinId="4"/>
    <cellStyle name="Currency 2" xfId="6" xr:uid="{00000000-0005-0000-0000-000002000000}"/>
    <cellStyle name="Hyperlink" xfId="3" builtinId="8"/>
    <cellStyle name="Normal" xfId="0" builtinId="0"/>
    <cellStyle name="Normal 2" xfId="4" xr:uid="{00000000-0005-0000-0000-000005000000}"/>
    <cellStyle name="Normal 3" xfId="5" xr:uid="{00000000-0005-0000-0000-000006000000}"/>
    <cellStyle name="Normal 4" xfId="7" xr:uid="{00000000-0005-0000-0000-000007000000}"/>
  </cellStyles>
  <dxfs count="0"/>
  <tableStyles count="0" defaultTableStyle="TableStyleMedium2" defaultPivotStyle="PivotStyleLight16"/>
  <colors>
    <mruColors>
      <color rgb="FFCCFF33"/>
      <color rgb="FFE6E6E6"/>
      <color rgb="FF00006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3" Type="http://schemas.openxmlformats.org/officeDocument/2006/relationships/styles" Target="styles.xml"/><Relationship Id="rId7" Type="http://schemas.microsoft.com/office/2017/06/relationships/rdRichValue" Target="richData/rdrichvalue.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2/10/relationships/richValueRel" Target="richData/richValueRel.xml"/><Relationship Id="rId5" Type="http://schemas.openxmlformats.org/officeDocument/2006/relationships/sheetMetadata" Target="metadata.xml"/><Relationship Id="rId10" Type="http://schemas.openxmlformats.org/officeDocument/2006/relationships/calcChain" Target="calcChain.xml"/><Relationship Id="rId4" Type="http://schemas.openxmlformats.org/officeDocument/2006/relationships/sharedStrings" Target="sharedStrings.xml"/><Relationship Id="rId9"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JP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png"/><Relationship Id="rId5" Type="http://schemas.openxmlformats.org/officeDocument/2006/relationships/image" Target="../media/image6.jpg"/><Relationship Id="rId4" Type="http://schemas.openxmlformats.org/officeDocument/2006/relationships/image" Target="../media/image5.pn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2</xdr:col>
      <xdr:colOff>666750</xdr:colOff>
      <xdr:row>112</xdr:row>
      <xdr:rowOff>66675</xdr:rowOff>
    </xdr:from>
    <xdr:to>
      <xdr:col>2</xdr:col>
      <xdr:colOff>3379470</xdr:colOff>
      <xdr:row>117</xdr:row>
      <xdr:rowOff>57150</xdr:rowOff>
    </xdr:to>
    <xdr:pic>
      <xdr:nvPicPr>
        <xdr:cNvPr id="5" name="pic_Ben">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209800" y="27117675"/>
          <a:ext cx="2712720" cy="762000"/>
        </a:xfrm>
        <a:prstGeom prst="rect">
          <a:avLst/>
        </a:prstGeom>
      </xdr:spPr>
    </xdr:pic>
    <xdr:clientData/>
  </xdr:twoCellAnchor>
  <xdr:twoCellAnchor editAs="oneCell">
    <xdr:from>
      <xdr:col>2</xdr:col>
      <xdr:colOff>666750</xdr:colOff>
      <xdr:row>113</xdr:row>
      <xdr:rowOff>9525</xdr:rowOff>
    </xdr:from>
    <xdr:to>
      <xdr:col>3</xdr:col>
      <xdr:colOff>28575</xdr:colOff>
      <xdr:row>116</xdr:row>
      <xdr:rowOff>184443</xdr:rowOff>
    </xdr:to>
    <xdr:pic>
      <xdr:nvPicPr>
        <xdr:cNvPr id="21" name="pic_Tim">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27222450"/>
          <a:ext cx="2743200" cy="61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800099</xdr:colOff>
      <xdr:row>112</xdr:row>
      <xdr:rowOff>47625</xdr:rowOff>
    </xdr:from>
    <xdr:to>
      <xdr:col>2</xdr:col>
      <xdr:colOff>3319163</xdr:colOff>
      <xdr:row>117</xdr:row>
      <xdr:rowOff>38100</xdr:rowOff>
    </xdr:to>
    <xdr:pic>
      <xdr:nvPicPr>
        <xdr:cNvPr id="3" name="pic_JimZ">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3149" y="26774775"/>
          <a:ext cx="2519064" cy="762000"/>
        </a:xfrm>
        <a:prstGeom prst="rect">
          <a:avLst/>
        </a:prstGeom>
      </xdr:spPr>
    </xdr:pic>
    <xdr:clientData/>
  </xdr:twoCellAnchor>
  <xdr:twoCellAnchor editAs="oneCell">
    <xdr:from>
      <xdr:col>2</xdr:col>
      <xdr:colOff>628650</xdr:colOff>
      <xdr:row>112</xdr:row>
      <xdr:rowOff>38100</xdr:rowOff>
    </xdr:from>
    <xdr:to>
      <xdr:col>2</xdr:col>
      <xdr:colOff>3371850</xdr:colOff>
      <xdr:row>117</xdr:row>
      <xdr:rowOff>43815</xdr:rowOff>
    </xdr:to>
    <xdr:pic>
      <xdr:nvPicPr>
        <xdr:cNvPr id="12" name="pic_Dennis">
          <a:extLst>
            <a:ext uri="{FF2B5EF4-FFF2-40B4-BE49-F238E27FC236}">
              <a16:creationId xmlns:a16="http://schemas.microsoft.com/office/drawing/2014/main" id="{00000000-0008-0000-0200-00000C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71700" y="26469975"/>
          <a:ext cx="2743200" cy="7772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oneCell">
    <xdr:from>
      <xdr:col>2</xdr:col>
      <xdr:colOff>676275</xdr:colOff>
      <xdr:row>112</xdr:row>
      <xdr:rowOff>47625</xdr:rowOff>
    </xdr:from>
    <xdr:to>
      <xdr:col>3</xdr:col>
      <xdr:colOff>38100</xdr:colOff>
      <xdr:row>117</xdr:row>
      <xdr:rowOff>53340</xdr:rowOff>
    </xdr:to>
    <xdr:pic>
      <xdr:nvPicPr>
        <xdr:cNvPr id="8" name="pic_Marc">
          <a:extLst>
            <a:ext uri="{FF2B5EF4-FFF2-40B4-BE49-F238E27FC236}">
              <a16:creationId xmlns:a16="http://schemas.microsoft.com/office/drawing/2014/main" id="{00000000-0008-0000-0200-000008000000}"/>
            </a:ext>
          </a:extLst>
        </xdr:cNvPr>
        <xdr:cNvPicPr preferRelativeResize="0">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9325" y="26479500"/>
          <a:ext cx="2743200" cy="777240"/>
        </a:xfrm>
        <a:prstGeom prst="rect">
          <a:avLst/>
        </a:prstGeom>
      </xdr:spPr>
    </xdr:pic>
    <xdr:clientData/>
  </xdr:twoCellAnchor>
  <xdr:twoCellAnchor editAs="oneCell">
    <xdr:from>
      <xdr:col>2</xdr:col>
      <xdr:colOff>819150</xdr:colOff>
      <xdr:row>112</xdr:row>
      <xdr:rowOff>19051</xdr:rowOff>
    </xdr:from>
    <xdr:to>
      <xdr:col>2</xdr:col>
      <xdr:colOff>2752448</xdr:colOff>
      <xdr:row>117</xdr:row>
      <xdr:rowOff>60672</xdr:rowOff>
    </xdr:to>
    <xdr:pic>
      <xdr:nvPicPr>
        <xdr:cNvPr id="2" name="pic_Jay">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6"/>
        <a:stretch>
          <a:fillRect/>
        </a:stretch>
      </xdr:blipFill>
      <xdr:spPr>
        <a:xfrm>
          <a:off x="2362200" y="27070051"/>
          <a:ext cx="1933298" cy="813146"/>
        </a:xfrm>
        <a:prstGeom prst="rect">
          <a:avLst/>
        </a:prstGeom>
      </xdr:spPr>
    </xdr:pic>
    <xdr:clientData/>
  </xdr:twoCellAnchor>
  <xdr:twoCellAnchor editAs="oneCell">
    <xdr:from>
      <xdr:col>2</xdr:col>
      <xdr:colOff>561975</xdr:colOff>
      <xdr:row>112</xdr:row>
      <xdr:rowOff>47625</xdr:rowOff>
    </xdr:from>
    <xdr:to>
      <xdr:col>3</xdr:col>
      <xdr:colOff>104775</xdr:colOff>
      <xdr:row>117</xdr:row>
      <xdr:rowOff>66675</xdr:rowOff>
    </xdr:to>
    <xdr:pic>
      <xdr:nvPicPr>
        <xdr:cNvPr id="18" name="pic_Blank">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5025" y="26774775"/>
          <a:ext cx="29241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666750</xdr:colOff>
      <xdr:row>112</xdr:row>
      <xdr:rowOff>104775</xdr:rowOff>
    </xdr:from>
    <xdr:to>
      <xdr:col>3</xdr:col>
      <xdr:colOff>0</xdr:colOff>
      <xdr:row>117</xdr:row>
      <xdr:rowOff>19050</xdr:rowOff>
    </xdr:to>
    <xdr:pic>
      <xdr:nvPicPr>
        <xdr:cNvPr id="17" name="pic_Print">
          <a:extLst>
            <a:ext uri="{FF2B5EF4-FFF2-40B4-BE49-F238E27FC236}">
              <a16:creationId xmlns:a16="http://schemas.microsoft.com/office/drawing/2014/main" id="{00000000-0008-0000-0200-000011000000}"/>
            </a:ext>
          </a:extLst>
        </xdr:cNvPr>
        <xdr:cNvPicPr preferRelativeResize="0">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09800" y="27155775"/>
          <a:ext cx="27146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676275</xdr:colOff>
      <xdr:row>112</xdr:row>
      <xdr:rowOff>47625</xdr:rowOff>
    </xdr:from>
    <xdr:to>
      <xdr:col>3</xdr:col>
      <xdr:colOff>38100</xdr:colOff>
      <xdr:row>117</xdr:row>
      <xdr:rowOff>57150</xdr:rowOff>
    </xdr:to>
    <xdr:pic>
      <xdr:nvPicPr>
        <xdr:cNvPr id="15" name="pic_Angie">
          <a:extLst>
            <a:ext uri="{FF2B5EF4-FFF2-40B4-BE49-F238E27FC236}">
              <a16:creationId xmlns:a16="http://schemas.microsoft.com/office/drawing/2014/main" id="{00000000-0008-0000-0200-00000F000000}"/>
            </a:ext>
          </a:extLst>
        </xdr:cNvPr>
        <xdr:cNvPicPr preferRelativeResize="0">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19325" y="26774775"/>
          <a:ext cx="2743200" cy="78105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2</xdr:col>
      <xdr:colOff>666750</xdr:colOff>
      <xdr:row>112</xdr:row>
      <xdr:rowOff>66675</xdr:rowOff>
    </xdr:from>
    <xdr:to>
      <xdr:col>2</xdr:col>
      <xdr:colOff>3379470</xdr:colOff>
      <xdr:row>117</xdr:row>
      <xdr:rowOff>57150</xdr:rowOff>
    </xdr:to>
    <xdr:pic>
      <xdr:nvPicPr>
        <xdr:cNvPr id="6" name="pic_Ben">
          <a:extLst>
            <a:ext uri="{FF2B5EF4-FFF2-40B4-BE49-F238E27FC236}">
              <a16:creationId xmlns:a16="http://schemas.microsoft.com/office/drawing/2014/main" id="{AFDDB2D0-8737-4713-99D1-D01534D640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209800" y="23326725"/>
          <a:ext cx="2712720" cy="762000"/>
        </a:xfrm>
        <a:prstGeom prst="rect">
          <a:avLst/>
        </a:prstGeom>
      </xdr:spPr>
    </xdr:pic>
    <xdr:clientData/>
  </xdr:twoCellAnchor>
  <xdr:twoCellAnchor editAs="oneCell">
    <xdr:from>
      <xdr:col>2</xdr:col>
      <xdr:colOff>666750</xdr:colOff>
      <xdr:row>113</xdr:row>
      <xdr:rowOff>9525</xdr:rowOff>
    </xdr:from>
    <xdr:to>
      <xdr:col>3</xdr:col>
      <xdr:colOff>28575</xdr:colOff>
      <xdr:row>116</xdr:row>
      <xdr:rowOff>184443</xdr:rowOff>
    </xdr:to>
    <xdr:pic>
      <xdr:nvPicPr>
        <xdr:cNvPr id="7" name="pic_Tim">
          <a:extLst>
            <a:ext uri="{FF2B5EF4-FFF2-40B4-BE49-F238E27FC236}">
              <a16:creationId xmlns:a16="http://schemas.microsoft.com/office/drawing/2014/main" id="{C90287F1-DCC7-4AB5-8E3C-9698A626F2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23431500"/>
          <a:ext cx="2743200" cy="6130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800099</xdr:colOff>
      <xdr:row>112</xdr:row>
      <xdr:rowOff>47625</xdr:rowOff>
    </xdr:from>
    <xdr:to>
      <xdr:col>2</xdr:col>
      <xdr:colOff>3319163</xdr:colOff>
      <xdr:row>117</xdr:row>
      <xdr:rowOff>38100</xdr:rowOff>
    </xdr:to>
    <xdr:pic>
      <xdr:nvPicPr>
        <xdr:cNvPr id="9" name="pic_JimZ">
          <a:extLst>
            <a:ext uri="{FF2B5EF4-FFF2-40B4-BE49-F238E27FC236}">
              <a16:creationId xmlns:a16="http://schemas.microsoft.com/office/drawing/2014/main" id="{18ACF9FE-75DD-4AA2-BC38-A3D80FC79D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3149" y="23307675"/>
          <a:ext cx="2519064" cy="762000"/>
        </a:xfrm>
        <a:prstGeom prst="rect">
          <a:avLst/>
        </a:prstGeom>
      </xdr:spPr>
    </xdr:pic>
    <xdr:clientData/>
  </xdr:twoCellAnchor>
  <xdr:twoCellAnchor editAs="oneCell">
    <xdr:from>
      <xdr:col>2</xdr:col>
      <xdr:colOff>628650</xdr:colOff>
      <xdr:row>112</xdr:row>
      <xdr:rowOff>38100</xdr:rowOff>
    </xdr:from>
    <xdr:to>
      <xdr:col>2</xdr:col>
      <xdr:colOff>3371850</xdr:colOff>
      <xdr:row>117</xdr:row>
      <xdr:rowOff>43815</xdr:rowOff>
    </xdr:to>
    <xdr:pic>
      <xdr:nvPicPr>
        <xdr:cNvPr id="10" name="pic_Dennis">
          <a:extLst>
            <a:ext uri="{FF2B5EF4-FFF2-40B4-BE49-F238E27FC236}">
              <a16:creationId xmlns:a16="http://schemas.microsoft.com/office/drawing/2014/main" id="{8201875D-B565-49DC-A8A0-A0DA595C0CF5}"/>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71700" y="23298150"/>
          <a:ext cx="2743200" cy="7772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oneCell">
    <xdr:from>
      <xdr:col>2</xdr:col>
      <xdr:colOff>676275</xdr:colOff>
      <xdr:row>112</xdr:row>
      <xdr:rowOff>47625</xdr:rowOff>
    </xdr:from>
    <xdr:to>
      <xdr:col>3</xdr:col>
      <xdr:colOff>38100</xdr:colOff>
      <xdr:row>117</xdr:row>
      <xdr:rowOff>53340</xdr:rowOff>
    </xdr:to>
    <xdr:pic>
      <xdr:nvPicPr>
        <xdr:cNvPr id="11" name="pic_Marc">
          <a:extLst>
            <a:ext uri="{FF2B5EF4-FFF2-40B4-BE49-F238E27FC236}">
              <a16:creationId xmlns:a16="http://schemas.microsoft.com/office/drawing/2014/main" id="{0424617C-DAFE-4FA0-8867-E9CE12D44AA3}"/>
            </a:ext>
          </a:extLst>
        </xdr:cNvPr>
        <xdr:cNvPicPr preferRelativeResize="0">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9325" y="23307675"/>
          <a:ext cx="2743200" cy="777240"/>
        </a:xfrm>
        <a:prstGeom prst="rect">
          <a:avLst/>
        </a:prstGeom>
      </xdr:spPr>
    </xdr:pic>
    <xdr:clientData/>
  </xdr:twoCellAnchor>
  <xdr:twoCellAnchor editAs="oneCell">
    <xdr:from>
      <xdr:col>2</xdr:col>
      <xdr:colOff>819150</xdr:colOff>
      <xdr:row>112</xdr:row>
      <xdr:rowOff>19051</xdr:rowOff>
    </xdr:from>
    <xdr:to>
      <xdr:col>2</xdr:col>
      <xdr:colOff>2752448</xdr:colOff>
      <xdr:row>117</xdr:row>
      <xdr:rowOff>60672</xdr:rowOff>
    </xdr:to>
    <xdr:pic>
      <xdr:nvPicPr>
        <xdr:cNvPr id="13" name="pic_Jay">
          <a:extLst>
            <a:ext uri="{FF2B5EF4-FFF2-40B4-BE49-F238E27FC236}">
              <a16:creationId xmlns:a16="http://schemas.microsoft.com/office/drawing/2014/main" id="{6BBC6A0F-27D7-4DA0-AA13-E97A5C9D1726}"/>
            </a:ext>
          </a:extLst>
        </xdr:cNvPr>
        <xdr:cNvPicPr>
          <a:picLocks noChangeAspect="1"/>
        </xdr:cNvPicPr>
      </xdr:nvPicPr>
      <xdr:blipFill>
        <a:blip xmlns:r="http://schemas.openxmlformats.org/officeDocument/2006/relationships" r:embed="rId6"/>
        <a:stretch>
          <a:fillRect/>
        </a:stretch>
      </xdr:blipFill>
      <xdr:spPr>
        <a:xfrm>
          <a:off x="2362200" y="23279101"/>
          <a:ext cx="1933298" cy="813146"/>
        </a:xfrm>
        <a:prstGeom prst="rect">
          <a:avLst/>
        </a:prstGeom>
      </xdr:spPr>
    </xdr:pic>
    <xdr:clientData/>
  </xdr:twoCellAnchor>
  <xdr:twoCellAnchor editAs="oneCell">
    <xdr:from>
      <xdr:col>2</xdr:col>
      <xdr:colOff>561975</xdr:colOff>
      <xdr:row>112</xdr:row>
      <xdr:rowOff>47625</xdr:rowOff>
    </xdr:from>
    <xdr:to>
      <xdr:col>3</xdr:col>
      <xdr:colOff>104775</xdr:colOff>
      <xdr:row>117</xdr:row>
      <xdr:rowOff>66675</xdr:rowOff>
    </xdr:to>
    <xdr:pic>
      <xdr:nvPicPr>
        <xdr:cNvPr id="14" name="pic_Blank">
          <a:extLst>
            <a:ext uri="{FF2B5EF4-FFF2-40B4-BE49-F238E27FC236}">
              <a16:creationId xmlns:a16="http://schemas.microsoft.com/office/drawing/2014/main" id="{17E8E367-5B2E-4A2B-A895-4371D29224FA}"/>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5025" y="23307675"/>
          <a:ext cx="29241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666750</xdr:colOff>
      <xdr:row>112</xdr:row>
      <xdr:rowOff>104775</xdr:rowOff>
    </xdr:from>
    <xdr:to>
      <xdr:col>3</xdr:col>
      <xdr:colOff>0</xdr:colOff>
      <xdr:row>117</xdr:row>
      <xdr:rowOff>19050</xdr:rowOff>
    </xdr:to>
    <xdr:pic>
      <xdr:nvPicPr>
        <xdr:cNvPr id="16" name="pic_Print">
          <a:extLst>
            <a:ext uri="{FF2B5EF4-FFF2-40B4-BE49-F238E27FC236}">
              <a16:creationId xmlns:a16="http://schemas.microsoft.com/office/drawing/2014/main" id="{5F9ED5A7-E08D-4CD8-9395-870FBABBD043}"/>
            </a:ext>
          </a:extLst>
        </xdr:cNvPr>
        <xdr:cNvPicPr preferRelativeResize="0">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09800" y="23364825"/>
          <a:ext cx="27146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676275</xdr:colOff>
      <xdr:row>112</xdr:row>
      <xdr:rowOff>47625</xdr:rowOff>
    </xdr:from>
    <xdr:to>
      <xdr:col>3</xdr:col>
      <xdr:colOff>38100</xdr:colOff>
      <xdr:row>117</xdr:row>
      <xdr:rowOff>57150</xdr:rowOff>
    </xdr:to>
    <xdr:pic>
      <xdr:nvPicPr>
        <xdr:cNvPr id="19" name="pic_Angie">
          <a:extLst>
            <a:ext uri="{FF2B5EF4-FFF2-40B4-BE49-F238E27FC236}">
              <a16:creationId xmlns:a16="http://schemas.microsoft.com/office/drawing/2014/main" id="{DD9808A0-184E-46C8-980B-A6F389810F35}"/>
            </a:ext>
          </a:extLst>
        </xdr:cNvPr>
        <xdr:cNvPicPr preferRelativeResize="0">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19325" y="23307675"/>
          <a:ext cx="2743200" cy="78105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boydsignsystems.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3" tint="-0.249977111117893"/>
  </sheetPr>
  <dimension ref="A1:J1286"/>
  <sheetViews>
    <sheetView showGridLines="0" tabSelected="1" zoomScaleNormal="100" workbookViewId="0">
      <selection activeCell="C41" sqref="C41"/>
    </sheetView>
  </sheetViews>
  <sheetFormatPr defaultColWidth="9.140625" defaultRowHeight="12.75"/>
  <cols>
    <col min="1" max="1" width="4.42578125" style="7" customWidth="1"/>
    <col min="2" max="2" width="18.7109375" style="1" customWidth="1"/>
    <col min="3" max="3" width="50.7109375" style="1" customWidth="1"/>
    <col min="4" max="4" width="8.85546875" style="1" customWidth="1"/>
    <col min="5" max="5" width="11" style="1" customWidth="1"/>
    <col min="6" max="6" width="14.42578125" style="1" customWidth="1"/>
    <col min="7" max="7" width="1" style="22" customWidth="1"/>
    <col min="8" max="8" width="11.140625" style="22" customWidth="1"/>
    <col min="9" max="9" width="7.5703125" style="21" customWidth="1"/>
    <col min="10" max="10" width="5.140625" style="21" customWidth="1"/>
    <col min="11" max="11" width="58" style="1" customWidth="1"/>
    <col min="12" max="12" width="10.5703125" style="1" customWidth="1"/>
    <col min="13" max="13" width="12.85546875" style="1" customWidth="1"/>
    <col min="14" max="14" width="2.7109375" style="1" customWidth="1"/>
    <col min="15" max="15" width="10.5703125" style="1" customWidth="1"/>
    <col min="16" max="16" width="12.85546875" style="1" customWidth="1"/>
    <col min="17" max="17" width="2.7109375" style="1" customWidth="1"/>
    <col min="18" max="18" width="10.5703125" style="1" customWidth="1"/>
    <col min="19" max="19" width="12.85546875" style="1" customWidth="1"/>
    <col min="20" max="20" width="2.7109375" style="1" customWidth="1"/>
    <col min="21" max="29" width="8.85546875" style="1" customWidth="1"/>
    <col min="30" max="16384" width="9.140625" style="1"/>
  </cols>
  <sheetData>
    <row r="1" spans="1:10" ht="20.25" customHeight="1">
      <c r="A1" s="191" t="e" vm="1">
        <v>#VALUE!</v>
      </c>
      <c r="B1" s="191"/>
      <c r="C1" s="191"/>
      <c r="D1" s="191"/>
      <c r="E1" s="191"/>
      <c r="F1" s="191"/>
      <c r="G1" s="28"/>
      <c r="H1" s="1"/>
      <c r="I1" s="1"/>
      <c r="J1" s="1"/>
    </row>
    <row r="2" spans="1:10" ht="12.6" customHeight="1">
      <c r="A2" s="191"/>
      <c r="B2" s="191"/>
      <c r="C2" s="191"/>
      <c r="D2" s="191"/>
      <c r="E2" s="191"/>
      <c r="F2" s="191"/>
      <c r="G2" s="28"/>
      <c r="H2" s="1"/>
      <c r="I2" s="1"/>
      <c r="J2" s="1"/>
    </row>
    <row r="3" spans="1:10" ht="17.100000000000001" customHeight="1">
      <c r="A3" s="191"/>
      <c r="B3" s="191"/>
      <c r="C3" s="191"/>
      <c r="D3" s="191"/>
      <c r="E3" s="191"/>
      <c r="F3" s="191"/>
      <c r="G3" s="28"/>
      <c r="H3" s="1"/>
      <c r="I3" s="1"/>
      <c r="J3" s="1"/>
    </row>
    <row r="4" spans="1:10" ht="12.2" customHeight="1">
      <c r="A4" s="191"/>
      <c r="B4" s="191"/>
      <c r="C4" s="191"/>
      <c r="D4" s="191"/>
      <c r="E4" s="191"/>
      <c r="F4" s="191"/>
      <c r="G4" s="28"/>
      <c r="H4" s="1"/>
      <c r="I4" s="1"/>
      <c r="J4" s="1"/>
    </row>
    <row r="5" spans="1:10" ht="15" customHeight="1">
      <c r="B5" s="84" t="s">
        <v>31</v>
      </c>
      <c r="C5" s="85"/>
      <c r="D5" s="37" t="s">
        <v>0</v>
      </c>
      <c r="E5" s="181"/>
      <c r="F5" s="181"/>
      <c r="G5" s="28"/>
      <c r="H5" s="1"/>
      <c r="I5" s="1"/>
      <c r="J5" s="1"/>
    </row>
    <row r="6" spans="1:10" ht="11.45" customHeight="1">
      <c r="C6" s="92"/>
      <c r="D6" s="86"/>
      <c r="E6" s="86"/>
      <c r="F6" s="86"/>
      <c r="G6" s="38"/>
      <c r="H6" s="1"/>
      <c r="I6" s="1"/>
      <c r="J6" s="1"/>
    </row>
    <row r="7" spans="1:10" ht="12.2" customHeight="1">
      <c r="B7" s="87"/>
      <c r="C7" s="99"/>
      <c r="D7" s="23"/>
      <c r="E7" s="69"/>
      <c r="F7" s="73"/>
      <c r="G7" s="28"/>
      <c r="H7" s="1"/>
      <c r="I7" s="1"/>
      <c r="J7" s="1"/>
    </row>
    <row r="8" spans="1:10" ht="18.75" customHeight="1">
      <c r="A8" s="100"/>
      <c r="B8" s="101" t="s">
        <v>56</v>
      </c>
      <c r="C8" s="101"/>
      <c r="D8" s="182"/>
      <c r="E8" s="182"/>
      <c r="F8" s="138"/>
      <c r="G8" s="29"/>
      <c r="H8" s="1"/>
      <c r="I8" s="1"/>
      <c r="J8" s="1"/>
    </row>
    <row r="9" spans="1:10" customFormat="1" ht="18.75" hidden="1" customHeight="1">
      <c r="A9" s="4"/>
      <c r="B9" s="5"/>
      <c r="C9" s="5"/>
      <c r="D9" s="140"/>
      <c r="E9" s="140"/>
      <c r="F9" s="139"/>
      <c r="G9" s="98"/>
      <c r="H9" s="1"/>
    </row>
    <row r="10" spans="1:10" s="8" customFormat="1" ht="15.75" customHeight="1">
      <c r="A10" s="166" t="s">
        <v>48</v>
      </c>
      <c r="B10" s="167"/>
      <c r="C10" s="102" t="s">
        <v>47</v>
      </c>
      <c r="D10" s="183" t="s">
        <v>50</v>
      </c>
      <c r="E10" s="184"/>
      <c r="F10" s="185"/>
      <c r="G10" s="39"/>
    </row>
    <row r="11" spans="1:10" s="8" customFormat="1" ht="14.25" customHeight="1">
      <c r="A11" s="168"/>
      <c r="B11" s="169"/>
      <c r="C11" s="24"/>
      <c r="D11" s="186"/>
      <c r="E11" s="187"/>
      <c r="F11" s="188"/>
      <c r="G11" s="40"/>
    </row>
    <row r="12" spans="1:10" s="8" customFormat="1" ht="14.25" customHeight="1">
      <c r="A12" s="171"/>
      <c r="B12" s="172"/>
      <c r="C12" s="133"/>
      <c r="D12" s="175"/>
      <c r="E12" s="176"/>
      <c r="F12" s="177"/>
      <c r="G12" s="41"/>
    </row>
    <row r="13" spans="1:10" s="8" customFormat="1" ht="14.25" customHeight="1">
      <c r="A13" s="171"/>
      <c r="B13" s="173"/>
      <c r="C13" s="134"/>
      <c r="D13" s="175"/>
      <c r="E13" s="176"/>
      <c r="F13" s="177"/>
      <c r="G13" s="41"/>
    </row>
    <row r="14" spans="1:10" s="8" customFormat="1" ht="14.25" customHeight="1">
      <c r="A14" s="171"/>
      <c r="B14" s="173"/>
      <c r="C14" s="134"/>
      <c r="D14" s="178"/>
      <c r="E14" s="179"/>
      <c r="F14" s="180"/>
      <c r="G14" s="40"/>
    </row>
    <row r="15" spans="1:10" s="8" customFormat="1" ht="14.25" customHeight="1">
      <c r="A15" s="171"/>
      <c r="B15" s="173"/>
      <c r="C15" s="135"/>
      <c r="D15" s="178"/>
      <c r="E15" s="179"/>
      <c r="F15" s="180"/>
      <c r="G15" s="40"/>
    </row>
    <row r="16" spans="1:10" s="8" customFormat="1" ht="14.25" customHeight="1">
      <c r="A16" s="171"/>
      <c r="B16" s="173"/>
      <c r="C16" s="133"/>
      <c r="D16" s="175"/>
      <c r="E16" s="176"/>
      <c r="F16" s="177"/>
      <c r="G16" s="42"/>
    </row>
    <row r="17" spans="1:10" s="8" customFormat="1" ht="14.25" customHeight="1">
      <c r="A17" s="171"/>
      <c r="B17" s="173"/>
      <c r="C17" s="136"/>
      <c r="D17" s="175"/>
      <c r="E17" s="176"/>
      <c r="F17" s="177"/>
      <c r="G17" s="42"/>
    </row>
    <row r="18" spans="1:10" ht="12.75" hidden="1" customHeight="1">
      <c r="A18" s="88"/>
      <c r="B18" s="2"/>
      <c r="C18" s="2"/>
      <c r="D18" s="89"/>
      <c r="E18" s="89"/>
      <c r="F18" s="90"/>
      <c r="G18" s="43"/>
      <c r="H18" s="1"/>
      <c r="I18" s="1"/>
      <c r="J18" s="1"/>
    </row>
    <row r="19" spans="1:10" s="8" customFormat="1" ht="14.25" customHeight="1">
      <c r="A19" s="91"/>
      <c r="B19" s="164"/>
      <c r="C19" s="164"/>
      <c r="D19" s="164"/>
      <c r="E19" s="164"/>
      <c r="F19" s="165"/>
      <c r="G19" s="44"/>
    </row>
    <row r="20" spans="1:10" ht="4.7" customHeight="1">
      <c r="A20" s="45"/>
      <c r="B20" s="45"/>
      <c r="C20" s="45"/>
      <c r="D20" s="45"/>
      <c r="E20" s="45"/>
      <c r="F20" s="45"/>
      <c r="G20" s="46"/>
      <c r="H20" s="1"/>
      <c r="I20" s="1"/>
      <c r="J20" s="1"/>
    </row>
    <row r="21" spans="1:10" s="9" customFormat="1" ht="14.45" customHeight="1">
      <c r="A21" s="103" t="s">
        <v>65</v>
      </c>
      <c r="B21" s="103"/>
      <c r="C21" s="1"/>
      <c r="D21" s="1"/>
      <c r="E21" s="104"/>
      <c r="F21" s="93"/>
      <c r="G21" s="30"/>
    </row>
    <row r="22" spans="1:10" ht="11.45" customHeight="1">
      <c r="A22" s="174" t="s">
        <v>10</v>
      </c>
      <c r="B22" s="174"/>
      <c r="C22" s="170"/>
      <c r="D22" s="170"/>
      <c r="E22" s="170"/>
      <c r="F22" s="170"/>
      <c r="G22" s="26"/>
      <c r="H22" s="1"/>
      <c r="I22" s="1"/>
      <c r="J22" s="1"/>
    </row>
    <row r="23" spans="1:10" ht="11.45" customHeight="1">
      <c r="A23" s="174" t="s">
        <v>35</v>
      </c>
      <c r="B23" s="174"/>
      <c r="C23" s="170"/>
      <c r="D23" s="170"/>
      <c r="E23" s="170"/>
      <c r="F23" s="170"/>
      <c r="G23" s="26"/>
      <c r="H23" s="1"/>
      <c r="I23" s="1"/>
      <c r="J23" s="1"/>
    </row>
    <row r="24" spans="1:10" ht="9" customHeight="1">
      <c r="B24" s="47"/>
      <c r="G24" s="26"/>
      <c r="H24" s="1"/>
      <c r="I24" s="1"/>
      <c r="J24" s="1"/>
    </row>
    <row r="25" spans="1:10" ht="19.5" customHeight="1">
      <c r="A25" s="105" t="s">
        <v>11</v>
      </c>
      <c r="B25" s="94"/>
      <c r="C25" s="160"/>
      <c r="D25" s="160"/>
      <c r="E25" s="160"/>
      <c r="F25" s="160"/>
      <c r="G25" s="27"/>
      <c r="H25" s="1"/>
      <c r="I25" s="1"/>
      <c r="J25" s="1"/>
    </row>
    <row r="26" spans="1:10" s="10" customFormat="1" ht="25.5">
      <c r="A26" s="62" t="s">
        <v>1</v>
      </c>
      <c r="B26" s="63" t="s">
        <v>2</v>
      </c>
      <c r="C26" s="64" t="s">
        <v>3</v>
      </c>
      <c r="D26" s="64" t="s">
        <v>4</v>
      </c>
      <c r="E26" s="65" t="s">
        <v>9</v>
      </c>
      <c r="F26" s="67" t="s">
        <v>5</v>
      </c>
      <c r="G26" s="48"/>
    </row>
    <row r="27" spans="1:10" s="10" customFormat="1" ht="12" hidden="1" customHeight="1">
      <c r="A27" s="95">
        <v>0</v>
      </c>
      <c r="B27" s="96"/>
      <c r="C27" s="66" t="s">
        <v>54</v>
      </c>
      <c r="D27" s="97"/>
      <c r="E27" s="96"/>
      <c r="F27" s="97"/>
      <c r="G27" s="48"/>
    </row>
    <row r="28" spans="1:10">
      <c r="A28" s="126">
        <f>+A27+1</f>
        <v>1</v>
      </c>
      <c r="B28" s="127"/>
      <c r="C28" s="128"/>
      <c r="D28" s="129"/>
      <c r="E28" s="130"/>
      <c r="F28" s="132" t="str">
        <f>IF(D28&lt;&gt;"",D28*E28," ")</f>
        <v xml:space="preserve"> </v>
      </c>
      <c r="G28" s="31"/>
      <c r="H28" s="1"/>
      <c r="I28" s="1"/>
      <c r="J28" s="1"/>
    </row>
    <row r="29" spans="1:10">
      <c r="A29" s="126">
        <f t="shared" ref="A29:A47" si="0">+A28+1</f>
        <v>2</v>
      </c>
      <c r="B29" s="147"/>
      <c r="C29" s="148"/>
      <c r="D29" s="129"/>
      <c r="E29" s="149"/>
      <c r="F29" s="132" t="str">
        <f t="shared" ref="F29:F47" si="1">IF(D29&lt;&gt;"",D29*E29," ")</f>
        <v xml:space="preserve"> </v>
      </c>
      <c r="G29" s="31"/>
      <c r="H29" s="1"/>
      <c r="I29" s="1"/>
      <c r="J29" s="1"/>
    </row>
    <row r="30" spans="1:10">
      <c r="A30" s="126">
        <f t="shared" si="0"/>
        <v>3</v>
      </c>
      <c r="B30" s="147"/>
      <c r="C30" s="148"/>
      <c r="D30" s="129"/>
      <c r="E30" s="149"/>
      <c r="F30" s="132" t="str">
        <f t="shared" si="1"/>
        <v xml:space="preserve"> </v>
      </c>
      <c r="G30" s="31"/>
      <c r="H30" s="1"/>
      <c r="I30" s="1"/>
      <c r="J30" s="1"/>
    </row>
    <row r="31" spans="1:10">
      <c r="A31" s="126">
        <f t="shared" si="0"/>
        <v>4</v>
      </c>
      <c r="B31" s="147"/>
      <c r="C31" s="148"/>
      <c r="D31" s="129"/>
      <c r="E31" s="149"/>
      <c r="F31" s="132" t="str">
        <f t="shared" si="1"/>
        <v xml:space="preserve"> </v>
      </c>
      <c r="G31" s="31"/>
      <c r="H31" s="1"/>
      <c r="I31" s="1"/>
      <c r="J31" s="1"/>
    </row>
    <row r="32" spans="1:10">
      <c r="A32" s="126">
        <f t="shared" si="0"/>
        <v>5</v>
      </c>
      <c r="B32" s="147"/>
      <c r="C32" s="148"/>
      <c r="D32" s="129"/>
      <c r="E32" s="149"/>
      <c r="F32" s="132" t="str">
        <f t="shared" si="1"/>
        <v xml:space="preserve"> </v>
      </c>
      <c r="G32" s="31"/>
      <c r="H32" s="1"/>
      <c r="I32" s="1"/>
      <c r="J32" s="1"/>
    </row>
    <row r="33" spans="1:10">
      <c r="A33" s="126">
        <f t="shared" si="0"/>
        <v>6</v>
      </c>
      <c r="B33" s="147"/>
      <c r="C33" s="148"/>
      <c r="D33" s="129"/>
      <c r="E33" s="149"/>
      <c r="F33" s="132" t="str">
        <f t="shared" si="1"/>
        <v xml:space="preserve"> </v>
      </c>
      <c r="G33" s="31"/>
      <c r="H33" s="1"/>
      <c r="I33" s="1"/>
      <c r="J33" s="1"/>
    </row>
    <row r="34" spans="1:10">
      <c r="A34" s="126">
        <f t="shared" si="0"/>
        <v>7</v>
      </c>
      <c r="B34" s="147"/>
      <c r="C34" s="148"/>
      <c r="D34" s="129"/>
      <c r="E34" s="149"/>
      <c r="F34" s="132" t="str">
        <f t="shared" si="1"/>
        <v xml:space="preserve"> </v>
      </c>
      <c r="G34" s="31"/>
      <c r="H34" s="1"/>
      <c r="I34" s="1"/>
      <c r="J34" s="1"/>
    </row>
    <row r="35" spans="1:10">
      <c r="A35" s="126">
        <f t="shared" si="0"/>
        <v>8</v>
      </c>
      <c r="B35" s="147"/>
      <c r="C35" s="148"/>
      <c r="D35" s="129"/>
      <c r="E35" s="149"/>
      <c r="F35" s="132" t="str">
        <f t="shared" si="1"/>
        <v xml:space="preserve"> </v>
      </c>
      <c r="G35" s="31"/>
      <c r="H35" s="1"/>
      <c r="I35" s="1"/>
      <c r="J35" s="1"/>
    </row>
    <row r="36" spans="1:10">
      <c r="A36" s="126">
        <f t="shared" si="0"/>
        <v>9</v>
      </c>
      <c r="B36" s="147"/>
      <c r="C36" s="148"/>
      <c r="D36" s="129"/>
      <c r="E36" s="149"/>
      <c r="F36" s="132" t="str">
        <f t="shared" si="1"/>
        <v xml:space="preserve"> </v>
      </c>
      <c r="G36" s="31"/>
      <c r="H36" s="1"/>
      <c r="I36" s="1"/>
      <c r="J36" s="1"/>
    </row>
    <row r="37" spans="1:10">
      <c r="A37" s="126">
        <f t="shared" si="0"/>
        <v>10</v>
      </c>
      <c r="B37" s="147"/>
      <c r="C37" s="148"/>
      <c r="D37" s="129"/>
      <c r="E37" s="149"/>
      <c r="F37" s="132" t="str">
        <f t="shared" si="1"/>
        <v xml:space="preserve"> </v>
      </c>
      <c r="G37" s="31"/>
      <c r="H37" s="1"/>
      <c r="I37" s="1"/>
      <c r="J37" s="1"/>
    </row>
    <row r="38" spans="1:10">
      <c r="A38" s="126">
        <f t="shared" si="0"/>
        <v>11</v>
      </c>
      <c r="B38" s="147"/>
      <c r="C38" s="148"/>
      <c r="D38" s="129"/>
      <c r="E38" s="149"/>
      <c r="F38" s="132" t="str">
        <f t="shared" si="1"/>
        <v xml:space="preserve"> </v>
      </c>
      <c r="G38" s="32"/>
      <c r="H38" s="1"/>
      <c r="I38" s="1"/>
      <c r="J38" s="1"/>
    </row>
    <row r="39" spans="1:10">
      <c r="A39" s="126">
        <f t="shared" si="0"/>
        <v>12</v>
      </c>
      <c r="B39" s="147"/>
      <c r="C39" s="148"/>
      <c r="D39" s="129"/>
      <c r="E39" s="149"/>
      <c r="F39" s="132" t="str">
        <f t="shared" si="1"/>
        <v xml:space="preserve"> </v>
      </c>
      <c r="G39" s="32"/>
      <c r="H39" s="1"/>
      <c r="I39" s="1"/>
      <c r="J39" s="1"/>
    </row>
    <row r="40" spans="1:10" ht="24.75" hidden="1" customHeight="1" thickBot="1">
      <c r="A40" s="126">
        <f t="shared" si="0"/>
        <v>13</v>
      </c>
      <c r="B40" s="147"/>
      <c r="C40" s="148"/>
      <c r="D40" s="129"/>
      <c r="E40" s="149"/>
      <c r="F40" s="132" t="str">
        <f t="shared" si="1"/>
        <v xml:space="preserve"> </v>
      </c>
      <c r="G40" s="31"/>
      <c r="H40" s="1"/>
      <c r="I40" s="1"/>
      <c r="J40" s="1"/>
    </row>
    <row r="41" spans="1:10" ht="12.75" customHeight="1">
      <c r="A41" s="126">
        <f t="shared" si="0"/>
        <v>14</v>
      </c>
      <c r="B41" s="147"/>
      <c r="C41" s="148"/>
      <c r="D41" s="129"/>
      <c r="E41" s="149"/>
      <c r="F41" s="132" t="str">
        <f t="shared" si="1"/>
        <v xml:space="preserve"> </v>
      </c>
      <c r="G41" s="49"/>
      <c r="H41" s="1"/>
      <c r="I41" s="1"/>
      <c r="J41" s="1"/>
    </row>
    <row r="42" spans="1:10" ht="12.75" customHeight="1">
      <c r="A42" s="126">
        <f t="shared" si="0"/>
        <v>15</v>
      </c>
      <c r="B42" s="147"/>
      <c r="C42" s="148"/>
      <c r="D42" s="129"/>
      <c r="E42" s="149"/>
      <c r="F42" s="132" t="str">
        <f t="shared" si="1"/>
        <v xml:space="preserve"> </v>
      </c>
      <c r="G42" s="33"/>
      <c r="H42" s="1"/>
      <c r="I42" s="1"/>
      <c r="J42" s="1"/>
    </row>
    <row r="43" spans="1:10" ht="12.75" customHeight="1">
      <c r="A43" s="126">
        <f t="shared" si="0"/>
        <v>16</v>
      </c>
      <c r="B43" s="147"/>
      <c r="C43" s="148"/>
      <c r="D43" s="129"/>
      <c r="E43" s="149"/>
      <c r="F43" s="132" t="str">
        <f t="shared" si="1"/>
        <v xml:space="preserve"> </v>
      </c>
      <c r="G43" s="33"/>
      <c r="H43" s="1"/>
      <c r="I43" s="1"/>
      <c r="J43" s="1"/>
    </row>
    <row r="44" spans="1:10" ht="12.75" customHeight="1">
      <c r="A44" s="126">
        <f t="shared" si="0"/>
        <v>17</v>
      </c>
      <c r="B44" s="147"/>
      <c r="C44" s="148"/>
      <c r="D44" s="129"/>
      <c r="E44" s="149"/>
      <c r="F44" s="132" t="str">
        <f t="shared" si="1"/>
        <v xml:space="preserve"> </v>
      </c>
      <c r="G44" s="34"/>
      <c r="H44" s="14"/>
      <c r="I44" s="14"/>
      <c r="J44" s="1"/>
    </row>
    <row r="45" spans="1:10" ht="12.75" customHeight="1">
      <c r="A45" s="126">
        <f t="shared" si="0"/>
        <v>18</v>
      </c>
      <c r="B45" s="150"/>
      <c r="C45" s="151"/>
      <c r="D45" s="61"/>
      <c r="E45" s="152"/>
      <c r="F45" s="132" t="str">
        <f t="shared" si="1"/>
        <v xml:space="preserve"> </v>
      </c>
      <c r="G45" s="33"/>
      <c r="H45" s="1"/>
      <c r="I45" s="1"/>
      <c r="J45" s="1"/>
    </row>
    <row r="46" spans="1:10" ht="12.75" customHeight="1">
      <c r="A46" s="126">
        <f t="shared" si="0"/>
        <v>19</v>
      </c>
      <c r="B46" s="144"/>
      <c r="C46" s="146"/>
      <c r="D46" s="142"/>
      <c r="E46" s="143"/>
      <c r="F46" s="132" t="str">
        <f t="shared" si="1"/>
        <v xml:space="preserve"> </v>
      </c>
      <c r="G46" s="33"/>
      <c r="H46" s="1"/>
      <c r="I46" s="1"/>
      <c r="J46" s="1"/>
    </row>
    <row r="47" spans="1:10" ht="15.75" customHeight="1" thickBot="1">
      <c r="A47" s="126">
        <f t="shared" si="0"/>
        <v>20</v>
      </c>
      <c r="B47" s="118"/>
      <c r="C47" s="66"/>
      <c r="D47" s="119"/>
      <c r="E47" s="120"/>
      <c r="F47" s="132" t="str">
        <f t="shared" si="1"/>
        <v xml:space="preserve"> </v>
      </c>
      <c r="G47" s="51"/>
      <c r="H47" s="1"/>
      <c r="I47" s="1"/>
      <c r="J47" s="1"/>
    </row>
    <row r="48" spans="1:10" ht="14.25" customHeight="1">
      <c r="A48" s="131"/>
      <c r="B48" s="121"/>
      <c r="C48" s="122"/>
      <c r="D48" s="123"/>
      <c r="E48" s="124" t="s">
        <v>6</v>
      </c>
      <c r="F48" s="125">
        <f>SUM(F28:F47)</f>
        <v>0</v>
      </c>
      <c r="G48" s="35"/>
      <c r="H48" s="1"/>
      <c r="I48" s="1"/>
      <c r="J48" s="1"/>
    </row>
    <row r="49" spans="1:10" ht="16.149999999999999" customHeight="1">
      <c r="A49" s="74"/>
      <c r="B49" s="109"/>
      <c r="C49" s="110"/>
      <c r="E49" s="75" t="s">
        <v>70</v>
      </c>
      <c r="F49" s="115"/>
      <c r="G49" s="52"/>
      <c r="H49" s="1"/>
      <c r="I49" s="1"/>
      <c r="J49" s="1"/>
    </row>
    <row r="50" spans="1:10">
      <c r="A50" s="74"/>
      <c r="B50" s="109"/>
      <c r="C50" s="110"/>
      <c r="E50" s="11" t="s">
        <v>49</v>
      </c>
      <c r="F50" s="115"/>
      <c r="G50" s="26"/>
      <c r="H50" s="1"/>
      <c r="I50" s="1"/>
      <c r="J50" s="1"/>
    </row>
    <row r="51" spans="1:10" s="19" customFormat="1" ht="12.75" customHeight="1">
      <c r="A51" s="74"/>
      <c r="B51" s="109"/>
      <c r="C51" s="111"/>
      <c r="D51" s="12"/>
      <c r="E51" s="13" t="s">
        <v>72</v>
      </c>
      <c r="F51" s="145">
        <v>0</v>
      </c>
      <c r="G51" s="53"/>
    </row>
    <row r="52" spans="1:10" ht="15" customHeight="1">
      <c r="A52" s="72"/>
      <c r="B52" s="109"/>
      <c r="C52" s="112"/>
      <c r="D52" s="12"/>
      <c r="E52" s="13" t="s">
        <v>55</v>
      </c>
      <c r="F52" s="141">
        <v>0</v>
      </c>
      <c r="G52" s="26"/>
      <c r="H52" s="1"/>
      <c r="I52" s="1"/>
      <c r="J52" s="1"/>
    </row>
    <row r="53" spans="1:10" ht="18" customHeight="1" thickBot="1">
      <c r="A53" s="4"/>
      <c r="B53" s="70"/>
      <c r="C53" s="71"/>
      <c r="D53"/>
      <c r="E53" s="15" t="s">
        <v>7</v>
      </c>
      <c r="F53" s="116"/>
      <c r="G53" s="53"/>
      <c r="H53" s="1"/>
      <c r="I53" s="1"/>
      <c r="J53" s="1"/>
    </row>
    <row r="54" spans="1:10" ht="15.75" customHeight="1">
      <c r="A54" s="74"/>
      <c r="B54" s="50"/>
      <c r="C54" s="16"/>
      <c r="D54" s="17"/>
      <c r="E54" s="18" t="s">
        <v>8</v>
      </c>
      <c r="F54" s="113">
        <f>+F53+F52+F49+F48+F50</f>
        <v>0</v>
      </c>
      <c r="G54" s="26"/>
      <c r="H54" s="1"/>
      <c r="I54" s="1"/>
      <c r="J54" s="1"/>
    </row>
    <row r="55" spans="1:10" ht="5.25" customHeight="1">
      <c r="A55" s="153"/>
      <c r="B55" s="154"/>
      <c r="C55" s="154"/>
      <c r="D55" s="154"/>
      <c r="E55" s="155"/>
      <c r="F55" s="156"/>
      <c r="G55" s="54"/>
      <c r="H55" s="1"/>
      <c r="I55" s="1"/>
      <c r="J55" s="1"/>
    </row>
    <row r="56" spans="1:10" ht="18.75" customHeight="1">
      <c r="A56" s="137" t="s">
        <v>12</v>
      </c>
      <c r="B56" s="137"/>
      <c r="C56" s="137"/>
      <c r="D56" s="137"/>
      <c r="E56" s="137"/>
      <c r="F56" s="137"/>
      <c r="G56" s="55"/>
      <c r="H56" s="1"/>
      <c r="I56" s="1"/>
      <c r="J56" s="1"/>
    </row>
    <row r="57" spans="1:10" ht="16.5" customHeight="1">
      <c r="A57" s="4"/>
      <c r="B57"/>
      <c r="C57"/>
      <c r="D57"/>
      <c r="E57"/>
      <c r="F57"/>
      <c r="G57" s="55"/>
      <c r="H57" s="1"/>
      <c r="I57" s="1"/>
      <c r="J57" s="1"/>
    </row>
    <row r="58" spans="1:10" ht="28.5" customHeight="1">
      <c r="A58" s="76" t="s">
        <v>14</v>
      </c>
      <c r="B58" s="158" t="s">
        <v>36</v>
      </c>
      <c r="C58" s="158"/>
      <c r="D58" s="158"/>
      <c r="E58" s="158"/>
      <c r="F58" s="158"/>
      <c r="G58" s="26"/>
      <c r="H58" s="1"/>
      <c r="I58" s="1"/>
      <c r="J58" s="1"/>
    </row>
    <row r="59" spans="1:10" ht="2.25" customHeight="1">
      <c r="A59" s="76"/>
      <c r="B59" s="76"/>
      <c r="C59" s="106"/>
      <c r="D59" s="106"/>
      <c r="E59" s="106"/>
      <c r="F59"/>
      <c r="G59" s="53"/>
      <c r="H59" s="1"/>
      <c r="I59" s="1"/>
      <c r="J59" s="1"/>
    </row>
    <row r="60" spans="1:10" ht="31.5" customHeight="1">
      <c r="A60" s="76" t="s">
        <v>15</v>
      </c>
      <c r="B60" s="158" t="s">
        <v>71</v>
      </c>
      <c r="C60" s="158"/>
      <c r="D60" s="158"/>
      <c r="E60" s="158"/>
      <c r="F60" s="158"/>
      <c r="G60" s="26"/>
      <c r="H60" s="1"/>
      <c r="I60" s="1"/>
      <c r="J60" s="1"/>
    </row>
    <row r="61" spans="1:10" ht="2.25" customHeight="1">
      <c r="A61" s="76"/>
      <c r="B61" s="76"/>
      <c r="C61" s="106"/>
      <c r="D61" s="106"/>
      <c r="E61" s="106"/>
      <c r="F61"/>
      <c r="G61" s="56"/>
      <c r="H61" s="1"/>
      <c r="I61" s="1"/>
      <c r="J61" s="1"/>
    </row>
    <row r="62" spans="1:10" ht="13.5" customHeight="1">
      <c r="A62" s="76" t="s">
        <v>16</v>
      </c>
      <c r="B62" s="163" t="s">
        <v>63</v>
      </c>
      <c r="C62" s="163"/>
      <c r="D62" s="117">
        <v>0.5</v>
      </c>
      <c r="E62" s="77" t="s">
        <v>53</v>
      </c>
      <c r="F62" s="78">
        <f>+F54*D62</f>
        <v>0</v>
      </c>
      <c r="G62" s="56"/>
      <c r="H62" s="1"/>
      <c r="I62" s="1"/>
      <c r="J62" s="1"/>
    </row>
    <row r="63" spans="1:10" ht="3" customHeight="1">
      <c r="A63" s="76"/>
      <c r="B63" s="76"/>
      <c r="C63" s="82"/>
      <c r="D63" s="79"/>
      <c r="E63" s="80"/>
      <c r="F63" s="81"/>
      <c r="G63" s="26"/>
      <c r="H63" s="1"/>
      <c r="I63" s="1"/>
      <c r="J63" s="1"/>
    </row>
    <row r="64" spans="1:10" ht="15" customHeight="1">
      <c r="A64" s="76"/>
      <c r="B64" s="162" t="s">
        <v>32</v>
      </c>
      <c r="C64" s="162"/>
      <c r="D64" s="162"/>
      <c r="E64" s="162"/>
      <c r="F64" s="81"/>
      <c r="G64" s="53"/>
      <c r="H64" s="1"/>
      <c r="I64" s="1"/>
      <c r="J64" s="1"/>
    </row>
    <row r="65" spans="1:10" ht="8.4499999999999993" customHeight="1">
      <c r="A65" s="76"/>
      <c r="B65" s="76"/>
      <c r="C65" s="106"/>
      <c r="D65" s="106"/>
      <c r="E65" s="106"/>
      <c r="F65"/>
      <c r="G65" s="26"/>
      <c r="H65" s="1"/>
      <c r="I65" s="1"/>
      <c r="J65" s="1"/>
    </row>
    <row r="66" spans="1:10" ht="15" customHeight="1">
      <c r="A66" s="76" t="s">
        <v>17</v>
      </c>
      <c r="B66" s="158" t="s">
        <v>13</v>
      </c>
      <c r="C66" s="158"/>
      <c r="D66" s="158"/>
      <c r="E66" s="158"/>
      <c r="F66" s="158"/>
      <c r="G66" s="57"/>
      <c r="H66" s="1"/>
      <c r="I66" s="1"/>
      <c r="J66" s="1"/>
    </row>
    <row r="67" spans="1:10" ht="8.4499999999999993" customHeight="1">
      <c r="A67" s="76"/>
      <c r="B67" s="76"/>
      <c r="C67" s="106"/>
      <c r="D67" s="106"/>
      <c r="E67" s="106"/>
      <c r="F67"/>
      <c r="G67" s="26"/>
      <c r="H67" s="1"/>
      <c r="I67" s="1"/>
      <c r="J67" s="1"/>
    </row>
    <row r="68" spans="1:10" ht="70.5" customHeight="1">
      <c r="A68" s="76" t="s">
        <v>18</v>
      </c>
      <c r="B68" s="190" t="s">
        <v>58</v>
      </c>
      <c r="C68" s="190"/>
      <c r="D68" s="190"/>
      <c r="E68" s="190"/>
      <c r="F68" s="190"/>
      <c r="G68" s="53"/>
      <c r="H68" s="1"/>
      <c r="I68" s="1"/>
      <c r="J68" s="1"/>
    </row>
    <row r="69" spans="1:10" ht="31.5" customHeight="1">
      <c r="A69" s="76"/>
      <c r="B69" s="190" t="s">
        <v>59</v>
      </c>
      <c r="C69" s="190"/>
      <c r="D69" s="190"/>
      <c r="E69" s="190"/>
      <c r="F69" s="190"/>
      <c r="G69" s="26"/>
      <c r="H69" s="1"/>
      <c r="I69" s="1"/>
      <c r="J69" s="1"/>
    </row>
    <row r="70" spans="1:10" ht="4.5" customHeight="1">
      <c r="A70" s="76"/>
      <c r="B70" s="76"/>
      <c r="C70" s="82"/>
      <c r="D70" s="82"/>
      <c r="E70" s="82"/>
      <c r="F70"/>
      <c r="G70" s="53"/>
      <c r="H70" s="1"/>
      <c r="I70" s="1"/>
      <c r="J70" s="1"/>
    </row>
    <row r="71" spans="1:10" ht="27" customHeight="1">
      <c r="A71" s="76" t="s">
        <v>19</v>
      </c>
      <c r="B71" s="158" t="s">
        <v>37</v>
      </c>
      <c r="C71" s="158"/>
      <c r="D71" s="158"/>
      <c r="E71" s="158"/>
      <c r="F71" s="158"/>
      <c r="G71" s="26"/>
      <c r="H71" s="1"/>
      <c r="I71" s="1"/>
      <c r="J71" s="1"/>
    </row>
    <row r="72" spans="1:10" ht="4.5" customHeight="1">
      <c r="A72" s="76"/>
      <c r="B72" s="76"/>
      <c r="C72" s="106"/>
      <c r="D72" s="106"/>
      <c r="E72" s="106"/>
      <c r="F72"/>
      <c r="G72" s="53"/>
      <c r="H72" s="1"/>
      <c r="I72" s="1"/>
      <c r="J72" s="1"/>
    </row>
    <row r="73" spans="1:10" ht="39" customHeight="1">
      <c r="A73" s="76" t="s">
        <v>20</v>
      </c>
      <c r="B73" s="161" t="s">
        <v>38</v>
      </c>
      <c r="C73" s="161"/>
      <c r="D73" s="161"/>
      <c r="E73" s="161"/>
      <c r="F73" s="161"/>
      <c r="G73" s="26"/>
      <c r="H73" s="1"/>
      <c r="I73" s="1"/>
      <c r="J73" s="1"/>
    </row>
    <row r="74" spans="1:10" ht="6" customHeight="1">
      <c r="A74" s="76"/>
      <c r="B74" s="76"/>
      <c r="C74" s="107"/>
      <c r="D74" s="107"/>
      <c r="E74" s="107"/>
      <c r="F74"/>
      <c r="G74" s="53"/>
      <c r="H74" s="1"/>
      <c r="I74" s="1"/>
      <c r="J74" s="1"/>
    </row>
    <row r="75" spans="1:10" ht="30" customHeight="1">
      <c r="A75" s="76" t="s">
        <v>21</v>
      </c>
      <c r="B75" s="158" t="s">
        <v>39</v>
      </c>
      <c r="C75" s="158"/>
      <c r="D75" s="158"/>
      <c r="E75" s="158"/>
      <c r="F75" s="158"/>
      <c r="G75" s="26"/>
      <c r="H75" s="1"/>
      <c r="I75" s="1"/>
      <c r="J75" s="1"/>
    </row>
    <row r="76" spans="1:10" ht="3" customHeight="1">
      <c r="A76" s="76"/>
      <c r="B76" s="76"/>
      <c r="C76" s="106"/>
      <c r="D76" s="106"/>
      <c r="E76" s="106"/>
      <c r="F76"/>
      <c r="G76" s="53"/>
      <c r="H76" s="1"/>
      <c r="I76" s="1"/>
      <c r="J76" s="1"/>
    </row>
    <row r="77" spans="1:10" ht="27" customHeight="1">
      <c r="A77" s="76" t="s">
        <v>22</v>
      </c>
      <c r="B77" s="158" t="s">
        <v>27</v>
      </c>
      <c r="C77" s="158"/>
      <c r="D77" s="158"/>
      <c r="E77" s="158"/>
      <c r="F77" s="158"/>
      <c r="G77" s="26"/>
      <c r="H77" s="1"/>
      <c r="I77" s="1"/>
      <c r="J77" s="1"/>
    </row>
    <row r="78" spans="1:10" ht="5.25" customHeight="1">
      <c r="A78" s="76"/>
      <c r="B78" s="76"/>
      <c r="C78" s="106"/>
      <c r="D78" s="106"/>
      <c r="E78" s="106"/>
      <c r="F78"/>
      <c r="G78" s="53"/>
      <c r="H78" s="1"/>
      <c r="I78" s="1"/>
      <c r="J78" s="1"/>
    </row>
    <row r="79" spans="1:10" ht="40.5" customHeight="1">
      <c r="A79" s="76" t="s">
        <v>23</v>
      </c>
      <c r="B79" s="158" t="s">
        <v>64</v>
      </c>
      <c r="C79" s="158"/>
      <c r="D79" s="158"/>
      <c r="E79" s="158"/>
      <c r="F79" s="158"/>
      <c r="G79" s="53"/>
      <c r="H79" s="1"/>
      <c r="I79" s="1"/>
      <c r="J79" s="1"/>
    </row>
    <row r="80" spans="1:10" ht="3" customHeight="1">
      <c r="A80" s="76"/>
      <c r="B80" s="76"/>
      <c r="C80" s="106"/>
      <c r="D80" s="106"/>
      <c r="E80" s="106"/>
      <c r="F80"/>
      <c r="G80" s="26"/>
      <c r="H80" s="1"/>
      <c r="I80" s="1"/>
      <c r="J80" s="1"/>
    </row>
    <row r="81" spans="1:10" ht="27.75" customHeight="1">
      <c r="A81" s="76" t="s">
        <v>24</v>
      </c>
      <c r="B81" s="158" t="s">
        <v>40</v>
      </c>
      <c r="C81" s="158"/>
      <c r="D81" s="158"/>
      <c r="E81" s="158"/>
      <c r="F81" s="158"/>
      <c r="G81" s="26"/>
      <c r="H81" s="1"/>
      <c r="I81" s="1"/>
      <c r="J81" s="1"/>
    </row>
    <row r="82" spans="1:10" ht="6" customHeight="1">
      <c r="A82" s="76"/>
      <c r="B82" s="76"/>
      <c r="C82" s="106"/>
      <c r="D82" s="106"/>
      <c r="E82" s="106"/>
      <c r="F82"/>
      <c r="G82" s="53"/>
      <c r="H82" s="1"/>
      <c r="I82" s="1"/>
      <c r="J82" s="1"/>
    </row>
    <row r="83" spans="1:10" ht="42.75" customHeight="1">
      <c r="A83" s="76" t="s">
        <v>25</v>
      </c>
      <c r="B83" s="158" t="s">
        <v>45</v>
      </c>
      <c r="C83" s="158"/>
      <c r="D83" s="158"/>
      <c r="E83" s="158"/>
      <c r="F83" s="158"/>
      <c r="G83" s="26"/>
      <c r="H83" s="1"/>
      <c r="I83" s="1"/>
      <c r="J83" s="1"/>
    </row>
    <row r="84" spans="1:10" ht="6.75" customHeight="1">
      <c r="A84" s="76"/>
      <c r="B84" s="76"/>
      <c r="C84" s="106"/>
      <c r="D84" s="106"/>
      <c r="E84" s="106"/>
      <c r="F84"/>
      <c r="G84" s="26"/>
      <c r="H84" s="1"/>
      <c r="I84" s="1"/>
      <c r="J84" s="1"/>
    </row>
    <row r="85" spans="1:10" ht="81" customHeight="1">
      <c r="A85" s="76" t="s">
        <v>26</v>
      </c>
      <c r="B85" s="158" t="s">
        <v>41</v>
      </c>
      <c r="C85" s="158"/>
      <c r="D85" s="158"/>
      <c r="E85" s="158"/>
      <c r="F85" s="158"/>
      <c r="G85" s="26"/>
      <c r="H85" s="1"/>
      <c r="I85" s="1"/>
      <c r="J85" s="1"/>
    </row>
    <row r="86" spans="1:10" ht="6.75" customHeight="1">
      <c r="A86" s="76"/>
      <c r="B86" s="106"/>
      <c r="C86" s="106"/>
      <c r="D86" s="106"/>
      <c r="E86" s="106"/>
      <c r="F86" s="106"/>
      <c r="G86" s="26"/>
      <c r="H86" s="1"/>
      <c r="I86" s="1"/>
      <c r="J86" s="1"/>
    </row>
    <row r="87" spans="1:10" ht="88.5" customHeight="1">
      <c r="A87" s="76" t="s">
        <v>42</v>
      </c>
      <c r="B87" s="159" t="s">
        <v>68</v>
      </c>
      <c r="C87" s="159"/>
      <c r="D87" s="159"/>
      <c r="E87" s="159"/>
      <c r="F87"/>
      <c r="G87" s="26"/>
      <c r="H87" s="1"/>
      <c r="I87" s="1"/>
      <c r="J87" s="1"/>
    </row>
    <row r="88" spans="1:10" ht="6" customHeight="1">
      <c r="A88" s="76"/>
      <c r="B88" s="159"/>
      <c r="C88" s="159"/>
      <c r="D88" s="159"/>
      <c r="E88" s="159"/>
      <c r="F88"/>
      <c r="G88" s="53"/>
      <c r="H88" s="1"/>
      <c r="I88" s="1"/>
      <c r="J88" s="1"/>
    </row>
    <row r="89" spans="1:10" ht="18" customHeight="1">
      <c r="A89" s="76" t="s">
        <v>43</v>
      </c>
      <c r="B89" s="158" t="s">
        <v>60</v>
      </c>
      <c r="C89" s="158"/>
      <c r="D89" s="158"/>
      <c r="E89" s="158"/>
      <c r="F89" s="158"/>
      <c r="G89" s="53"/>
      <c r="H89" s="1"/>
      <c r="I89" s="1"/>
      <c r="J89" s="1"/>
    </row>
    <row r="90" spans="1:10" ht="6.75" customHeight="1">
      <c r="A90" s="76"/>
      <c r="B90" s="76"/>
      <c r="C90" s="106"/>
      <c r="D90" s="106"/>
      <c r="E90" s="106"/>
      <c r="F90"/>
      <c r="G90" s="53"/>
      <c r="H90" s="1"/>
      <c r="I90" s="1"/>
      <c r="J90" s="1"/>
    </row>
    <row r="91" spans="1:10" ht="67.5" customHeight="1">
      <c r="A91" s="76" t="s">
        <v>44</v>
      </c>
      <c r="B91" s="158" t="s">
        <v>73</v>
      </c>
      <c r="C91" s="158"/>
      <c r="D91" s="158"/>
      <c r="E91" s="158"/>
      <c r="F91"/>
      <c r="G91" s="36"/>
      <c r="H91" s="1"/>
      <c r="I91" s="1"/>
      <c r="J91" s="1"/>
    </row>
    <row r="92" spans="1:10" ht="9.75" customHeight="1">
      <c r="A92" s="76"/>
      <c r="B92" s="114"/>
      <c r="C92" s="114"/>
      <c r="D92" s="114"/>
      <c r="E92" s="114"/>
      <c r="F92"/>
      <c r="G92" s="53"/>
      <c r="H92" s="1"/>
      <c r="I92" s="1"/>
      <c r="J92" s="1"/>
    </row>
    <row r="93" spans="1:10" ht="54.75" customHeight="1">
      <c r="A93" s="76" t="s">
        <v>57</v>
      </c>
      <c r="B93" s="158" t="s">
        <v>66</v>
      </c>
      <c r="C93" s="158"/>
      <c r="D93" s="158"/>
      <c r="E93" s="158"/>
      <c r="F93"/>
      <c r="G93" s="53"/>
      <c r="H93" s="1"/>
      <c r="I93" s="1"/>
      <c r="J93" s="1"/>
    </row>
    <row r="94" spans="1:10" ht="7.5" customHeight="1">
      <c r="A94" s="76"/>
      <c r="B94" s="114"/>
      <c r="C94" s="114"/>
      <c r="D94" s="114"/>
      <c r="E94" s="114"/>
      <c r="F94"/>
      <c r="G94" s="53"/>
      <c r="H94" s="1"/>
      <c r="I94" s="1"/>
      <c r="J94" s="1"/>
    </row>
    <row r="95" spans="1:10" ht="41.25" customHeight="1">
      <c r="A95" s="76" t="s">
        <v>61</v>
      </c>
      <c r="B95" s="158" t="s">
        <v>69</v>
      </c>
      <c r="C95" s="158"/>
      <c r="D95" s="158"/>
      <c r="E95" s="158"/>
      <c r="F95" s="158"/>
      <c r="G95" s="53"/>
      <c r="H95" s="1"/>
      <c r="I95" s="1"/>
      <c r="J95" s="1"/>
    </row>
    <row r="96" spans="1:10" ht="10.5" customHeight="1">
      <c r="A96" s="76"/>
      <c r="B96" s="106"/>
      <c r="C96" s="106"/>
      <c r="D96" s="106"/>
      <c r="E96" s="106"/>
      <c r="F96" s="106"/>
      <c r="G96" s="53"/>
      <c r="H96" s="1"/>
      <c r="I96" s="1"/>
      <c r="J96" s="1"/>
    </row>
    <row r="97" spans="1:10" ht="132.75" customHeight="1">
      <c r="A97" s="76" t="s">
        <v>62</v>
      </c>
      <c r="B97" s="158" t="s">
        <v>67</v>
      </c>
      <c r="C97" s="158"/>
      <c r="D97" s="158"/>
      <c r="E97" s="158"/>
      <c r="F97" s="158"/>
      <c r="G97" s="58"/>
      <c r="H97" s="1"/>
      <c r="I97" s="1"/>
      <c r="J97" s="1"/>
    </row>
    <row r="98" spans="1:10" ht="12.75" customHeight="1">
      <c r="A98" s="4"/>
      <c r="B98" s="76"/>
      <c r="C98" s="106"/>
      <c r="D98" s="106"/>
      <c r="E98" s="106"/>
      <c r="F98" s="6"/>
      <c r="G98" s="59"/>
      <c r="H98" s="1"/>
      <c r="I98" s="1"/>
      <c r="J98" s="1"/>
    </row>
    <row r="99" spans="1:10" ht="41.25" customHeight="1">
      <c r="A99" s="4"/>
      <c r="B99" s="189" t="s">
        <v>33</v>
      </c>
      <c r="C99" s="189"/>
      <c r="D99" s="189"/>
      <c r="E99" s="189"/>
      <c r="F99" s="106"/>
      <c r="G99" s="58"/>
      <c r="H99" s="1"/>
      <c r="I99" s="1"/>
      <c r="J99" s="1"/>
    </row>
    <row r="100" spans="1:10" ht="9" customHeight="1">
      <c r="A100" s="4"/>
      <c r="B100" s="106"/>
      <c r="C100" s="106"/>
      <c r="D100" s="106"/>
      <c r="E100" s="106"/>
      <c r="F100" s="106"/>
      <c r="G100" s="58"/>
      <c r="H100" s="1"/>
      <c r="I100" s="1"/>
      <c r="J100" s="1"/>
    </row>
    <row r="101" spans="1:10" ht="39.75" customHeight="1">
      <c r="A101" s="4"/>
      <c r="B101" s="189" t="s">
        <v>46</v>
      </c>
      <c r="C101" s="189"/>
      <c r="D101" s="189"/>
      <c r="E101" s="189"/>
      <c r="F101" s="106"/>
      <c r="G101" s="60"/>
      <c r="H101" s="1"/>
      <c r="I101" s="1"/>
      <c r="J101" s="1"/>
    </row>
    <row r="102" spans="1:10">
      <c r="A102" s="4"/>
      <c r="B102" s="106"/>
      <c r="C102" s="106"/>
      <c r="D102" s="106"/>
      <c r="E102" s="106"/>
      <c r="F102" s="106"/>
      <c r="G102" s="58"/>
      <c r="H102" s="1"/>
      <c r="I102" s="1"/>
      <c r="J102" s="1"/>
    </row>
    <row r="103" spans="1:10" ht="29.25" customHeight="1">
      <c r="A103" s="4"/>
      <c r="B103" s="189" t="s">
        <v>28</v>
      </c>
      <c r="C103" s="189"/>
      <c r="D103" s="189"/>
      <c r="E103" s="189"/>
      <c r="F103" s="106"/>
      <c r="G103" s="58"/>
      <c r="H103" s="1"/>
      <c r="I103" s="1"/>
      <c r="J103" s="1"/>
    </row>
    <row r="104" spans="1:10" ht="6.75" customHeight="1">
      <c r="A104" s="4"/>
      <c r="B104" s="25"/>
      <c r="C104" s="25"/>
      <c r="D104" s="25"/>
      <c r="E104" s="25"/>
      <c r="F104" s="25"/>
      <c r="G104" s="26"/>
      <c r="H104" s="1"/>
      <c r="I104" s="1"/>
      <c r="J104" s="1"/>
    </row>
    <row r="105" spans="1:10" ht="15.75" customHeight="1">
      <c r="A105" s="4"/>
      <c r="B105" s="189" t="s">
        <v>30</v>
      </c>
      <c r="C105" s="189"/>
      <c r="D105" s="189"/>
      <c r="E105" s="189"/>
      <c r="F105" s="189"/>
      <c r="G105" s="58"/>
      <c r="H105" s="1"/>
      <c r="I105" s="1"/>
      <c r="J105" s="1"/>
    </row>
    <row r="106" spans="1:10">
      <c r="A106" s="4"/>
      <c r="B106" s="25"/>
      <c r="C106" s="25"/>
      <c r="D106" s="25"/>
      <c r="E106" s="25"/>
      <c r="F106" s="25"/>
      <c r="G106" s="26"/>
      <c r="H106" s="1"/>
      <c r="I106" s="1"/>
      <c r="J106" s="1"/>
    </row>
    <row r="107" spans="1:10">
      <c r="A107" s="4"/>
      <c r="B107" s="25"/>
      <c r="C107" s="25"/>
      <c r="D107" s="25"/>
      <c r="E107" s="25"/>
      <c r="F107" s="25"/>
      <c r="G107" s="26"/>
      <c r="H107" s="1"/>
      <c r="I107" s="1"/>
      <c r="J107" s="1"/>
    </row>
    <row r="108" spans="1:10" ht="31.5">
      <c r="B108" s="108" t="s">
        <v>29</v>
      </c>
      <c r="C108" s="108"/>
      <c r="D108" s="108"/>
      <c r="E108" s="108"/>
      <c r="F108" s="108"/>
      <c r="G108" s="26"/>
      <c r="H108" s="1"/>
      <c r="I108" s="1"/>
      <c r="J108" s="1"/>
    </row>
    <row r="109" spans="1:10">
      <c r="B109" s="25"/>
      <c r="C109" s="25"/>
      <c r="D109" s="25"/>
      <c r="E109" s="25"/>
      <c r="F109" s="25"/>
      <c r="G109" s="26"/>
      <c r="H109" s="1"/>
      <c r="I109" s="1"/>
      <c r="J109" s="1"/>
    </row>
    <row r="110" spans="1:10" ht="12.75" customHeight="1">
      <c r="B110" s="157" t="s">
        <v>51</v>
      </c>
      <c r="C110" s="157"/>
      <c r="D110" s="157"/>
      <c r="E110" s="157"/>
      <c r="F110" s="157"/>
      <c r="G110" s="26"/>
      <c r="H110" s="1"/>
      <c r="I110" s="1"/>
      <c r="J110" s="1"/>
    </row>
    <row r="111" spans="1:10" ht="2.25" customHeight="1">
      <c r="B111" s="6"/>
      <c r="C111"/>
      <c r="D111"/>
      <c r="E111"/>
      <c r="F111"/>
      <c r="G111" s="26"/>
      <c r="H111" s="1"/>
      <c r="I111" s="1"/>
      <c r="J111" s="1"/>
    </row>
    <row r="112" spans="1:10" ht="17.25" customHeight="1">
      <c r="B112" s="157" t="s">
        <v>52</v>
      </c>
      <c r="C112" s="157"/>
      <c r="D112" s="157"/>
      <c r="E112" s="157"/>
      <c r="F112" s="157"/>
      <c r="G112" s="26"/>
      <c r="H112" s="1"/>
      <c r="I112" s="1"/>
      <c r="J112" s="1"/>
    </row>
    <row r="113" spans="1:10" ht="9.9499999999999993" customHeight="1">
      <c r="B113" s="6"/>
      <c r="C113"/>
      <c r="D113"/>
      <c r="E113"/>
      <c r="F113"/>
      <c r="G113" s="26"/>
      <c r="H113" s="1"/>
      <c r="I113" s="1"/>
      <c r="J113" s="1"/>
    </row>
    <row r="114" spans="1:10" ht="18.75" customHeight="1">
      <c r="B114" s="6"/>
      <c r="C114"/>
      <c r="D114"/>
      <c r="E114"/>
      <c r="F114"/>
      <c r="G114" s="26"/>
      <c r="H114" s="1"/>
      <c r="I114" s="1"/>
      <c r="J114" s="1"/>
    </row>
    <row r="115" spans="1:10" ht="15" customHeight="1">
      <c r="B115" s="83" t="s">
        <v>34</v>
      </c>
      <c r="C115"/>
      <c r="D115"/>
      <c r="E115"/>
      <c r="F115"/>
      <c r="G115" s="26"/>
      <c r="H115" s="1"/>
      <c r="I115" s="1"/>
      <c r="J115" s="1"/>
    </row>
    <row r="116" spans="1:10" ht="0.75" customHeight="1">
      <c r="B116" s="6"/>
      <c r="C116"/>
      <c r="D116"/>
      <c r="E116"/>
      <c r="F116"/>
      <c r="G116" s="26"/>
      <c r="H116" s="1"/>
      <c r="I116" s="1"/>
      <c r="J116" s="1"/>
    </row>
    <row r="117" spans="1:10" ht="16.5" customHeight="1">
      <c r="B117" s="6"/>
      <c r="C117"/>
      <c r="D117"/>
      <c r="E117" s="3" t="s">
        <v>74</v>
      </c>
      <c r="F117" s="3"/>
      <c r="G117" s="26"/>
      <c r="H117" s="1"/>
      <c r="I117" s="1"/>
      <c r="J117" s="1"/>
    </row>
    <row r="118" spans="1:10" ht="9.9499999999999993" customHeight="1">
      <c r="A118" s="1"/>
      <c r="B118" s="20"/>
      <c r="C118" s="68"/>
      <c r="G118" s="1"/>
      <c r="H118" s="1"/>
      <c r="I118" s="1"/>
      <c r="J118" s="1"/>
    </row>
    <row r="119" spans="1:10" ht="9.9499999999999993" customHeight="1">
      <c r="A119" s="1"/>
      <c r="B119" s="20"/>
      <c r="G119" s="1"/>
      <c r="H119" s="1"/>
      <c r="I119" s="1"/>
      <c r="J119" s="1"/>
    </row>
    <row r="120" spans="1:10" ht="9.9499999999999993" customHeight="1">
      <c r="A120" s="1"/>
      <c r="B120" s="20"/>
      <c r="G120" s="1"/>
      <c r="H120" s="1"/>
      <c r="I120" s="1"/>
      <c r="J120" s="1"/>
    </row>
    <row r="121" spans="1:10" ht="9.9499999999999993" customHeight="1">
      <c r="A121" s="1"/>
      <c r="B121" s="20"/>
      <c r="G121" s="1"/>
      <c r="H121" s="1"/>
      <c r="I121" s="1"/>
      <c r="J121" s="1"/>
    </row>
    <row r="122" spans="1:10" ht="9.9499999999999993" customHeight="1">
      <c r="A122" s="1"/>
      <c r="B122" s="20"/>
      <c r="G122" s="1"/>
      <c r="H122" s="1"/>
      <c r="I122" s="1"/>
      <c r="J122" s="1"/>
    </row>
    <row r="123" spans="1:10" ht="9.9499999999999993" customHeight="1">
      <c r="A123" s="1"/>
      <c r="B123" s="20"/>
      <c r="G123" s="1"/>
      <c r="H123" s="1"/>
      <c r="I123" s="1"/>
      <c r="J123" s="1"/>
    </row>
    <row r="124" spans="1:10" ht="9.9499999999999993" customHeight="1">
      <c r="A124" s="1"/>
      <c r="B124" s="20"/>
      <c r="G124" s="1"/>
      <c r="H124" s="1"/>
      <c r="I124" s="1"/>
      <c r="J124" s="1"/>
    </row>
    <row r="125" spans="1:10" ht="9.9499999999999993" customHeight="1">
      <c r="A125" s="1"/>
      <c r="B125" s="20"/>
      <c r="G125" s="1"/>
      <c r="H125" s="1"/>
      <c r="I125" s="1"/>
      <c r="J125" s="1"/>
    </row>
    <row r="126" spans="1:10" ht="9.9499999999999993" customHeight="1">
      <c r="A126" s="1"/>
      <c r="B126" s="20"/>
      <c r="G126" s="1"/>
      <c r="H126" s="1"/>
      <c r="I126" s="1"/>
      <c r="J126" s="1"/>
    </row>
    <row r="127" spans="1:10" ht="9.9499999999999993" customHeight="1">
      <c r="A127" s="1"/>
      <c r="B127" s="20"/>
      <c r="G127" s="1"/>
      <c r="H127" s="1"/>
      <c r="I127" s="1"/>
      <c r="J127" s="1"/>
    </row>
    <row r="128" spans="1:10" ht="9.9499999999999993" customHeight="1">
      <c r="A128" s="1"/>
      <c r="B128" s="20"/>
      <c r="G128" s="1"/>
      <c r="H128" s="1"/>
      <c r="I128" s="1"/>
      <c r="J128" s="1"/>
    </row>
    <row r="129" spans="2:2" s="1" customFormat="1" ht="9.9499999999999993" customHeight="1">
      <c r="B129" s="20"/>
    </row>
    <row r="130" spans="2:2" s="1" customFormat="1" ht="9.9499999999999993" customHeight="1">
      <c r="B130" s="20"/>
    </row>
    <row r="131" spans="2:2" s="1" customFormat="1" ht="9.9499999999999993" customHeight="1">
      <c r="B131" s="20"/>
    </row>
    <row r="132" spans="2:2" s="1" customFormat="1" ht="9.9499999999999993" customHeight="1">
      <c r="B132" s="20"/>
    </row>
    <row r="133" spans="2:2" s="1" customFormat="1" ht="9.9499999999999993" customHeight="1">
      <c r="B133" s="20"/>
    </row>
    <row r="134" spans="2:2" s="1" customFormat="1" ht="126" customHeight="1">
      <c r="B134" s="20"/>
    </row>
    <row r="135" spans="2:2" s="1" customFormat="1" ht="96" customHeight="1">
      <c r="B135" s="20"/>
    </row>
    <row r="136" spans="2:2" s="1" customFormat="1" ht="93" customHeight="1">
      <c r="B136" s="20"/>
    </row>
    <row r="137" spans="2:2" s="1" customFormat="1" ht="42" customHeight="1">
      <c r="B137" s="20"/>
    </row>
    <row r="138" spans="2:2" s="1" customFormat="1" ht="42.75" customHeight="1">
      <c r="B138" s="20"/>
    </row>
    <row r="139" spans="2:2" s="1" customFormat="1" ht="103.5" customHeight="1">
      <c r="B139" s="20"/>
    </row>
    <row r="140" spans="2:2" s="1" customFormat="1">
      <c r="B140" s="20"/>
    </row>
    <row r="141" spans="2:2" s="1" customFormat="1">
      <c r="B141" s="20"/>
    </row>
    <row r="142" spans="2:2" s="1" customFormat="1">
      <c r="B142" s="20"/>
    </row>
    <row r="143" spans="2:2" s="1" customFormat="1">
      <c r="B143" s="20"/>
    </row>
    <row r="144" spans="2:2" s="1" customFormat="1">
      <c r="B144" s="20"/>
    </row>
    <row r="145" spans="2:2" s="1" customFormat="1">
      <c r="B145" s="20"/>
    </row>
    <row r="146" spans="2:2" s="1" customFormat="1">
      <c r="B146" s="20"/>
    </row>
    <row r="147" spans="2:2" s="1" customFormat="1">
      <c r="B147" s="20"/>
    </row>
    <row r="148" spans="2:2" s="1" customFormat="1">
      <c r="B148" s="20"/>
    </row>
    <row r="149" spans="2:2" s="1" customFormat="1">
      <c r="B149" s="20"/>
    </row>
    <row r="150" spans="2:2" s="1" customFormat="1">
      <c r="B150" s="20"/>
    </row>
    <row r="151" spans="2:2" s="1" customFormat="1">
      <c r="B151" s="20"/>
    </row>
    <row r="152" spans="2:2" s="1" customFormat="1">
      <c r="B152" s="20"/>
    </row>
    <row r="153" spans="2:2" s="1" customFormat="1">
      <c r="B153" s="20"/>
    </row>
    <row r="154" spans="2:2" s="1" customFormat="1">
      <c r="B154" s="20"/>
    </row>
    <row r="155" spans="2:2" s="1" customFormat="1">
      <c r="B155" s="20"/>
    </row>
    <row r="156" spans="2:2" s="1" customFormat="1">
      <c r="B156" s="20"/>
    </row>
    <row r="157" spans="2:2" s="1" customFormat="1">
      <c r="B157" s="20"/>
    </row>
    <row r="158" spans="2:2" s="1" customFormat="1">
      <c r="B158" s="20"/>
    </row>
    <row r="159" spans="2:2" s="1" customFormat="1">
      <c r="B159" s="20"/>
    </row>
    <row r="160" spans="2:2" s="1" customFormat="1">
      <c r="B160" s="20"/>
    </row>
    <row r="161" spans="2:2" s="1" customFormat="1">
      <c r="B161" s="20"/>
    </row>
    <row r="162" spans="2:2" s="1" customFormat="1">
      <c r="B162" s="20"/>
    </row>
    <row r="163" spans="2:2" s="1" customFormat="1">
      <c r="B163" s="20"/>
    </row>
    <row r="164" spans="2:2" s="1" customFormat="1">
      <c r="B164" s="20"/>
    </row>
    <row r="165" spans="2:2" s="1" customFormat="1">
      <c r="B165" s="20"/>
    </row>
    <row r="166" spans="2:2" s="1" customFormat="1">
      <c r="B166" s="20"/>
    </row>
    <row r="167" spans="2:2" s="1" customFormat="1">
      <c r="B167" s="20"/>
    </row>
    <row r="168" spans="2:2" s="1" customFormat="1">
      <c r="B168" s="20"/>
    </row>
    <row r="169" spans="2:2" s="1" customFormat="1">
      <c r="B169" s="20"/>
    </row>
    <row r="170" spans="2:2" s="1" customFormat="1">
      <c r="B170" s="20"/>
    </row>
    <row r="171" spans="2:2" s="1" customFormat="1">
      <c r="B171" s="20"/>
    </row>
    <row r="172" spans="2:2" s="1" customFormat="1">
      <c r="B172" s="20"/>
    </row>
    <row r="173" spans="2:2" s="1" customFormat="1">
      <c r="B173" s="20"/>
    </row>
    <row r="174" spans="2:2" s="1" customFormat="1">
      <c r="B174" s="20"/>
    </row>
    <row r="175" spans="2:2" s="1" customFormat="1">
      <c r="B175" s="20"/>
    </row>
    <row r="176" spans="2:2" s="1" customFormat="1">
      <c r="B176" s="20"/>
    </row>
    <row r="177" spans="2:2" s="1" customFormat="1">
      <c r="B177" s="20"/>
    </row>
    <row r="178" spans="2:2" s="1" customFormat="1">
      <c r="B178" s="20"/>
    </row>
    <row r="179" spans="2:2" s="1" customFormat="1">
      <c r="B179" s="20"/>
    </row>
    <row r="180" spans="2:2" s="1" customFormat="1">
      <c r="B180" s="20"/>
    </row>
    <row r="181" spans="2:2" s="1" customFormat="1">
      <c r="B181" s="20"/>
    </row>
    <row r="182" spans="2:2" s="1" customFormat="1">
      <c r="B182" s="20"/>
    </row>
    <row r="183" spans="2:2" s="1" customFormat="1">
      <c r="B183" s="20"/>
    </row>
    <row r="184" spans="2:2" s="1" customFormat="1">
      <c r="B184" s="20"/>
    </row>
    <row r="185" spans="2:2" s="1" customFormat="1">
      <c r="B185" s="20"/>
    </row>
    <row r="186" spans="2:2" s="1" customFormat="1">
      <c r="B186" s="20"/>
    </row>
    <row r="187" spans="2:2" s="1" customFormat="1">
      <c r="B187" s="20"/>
    </row>
    <row r="188" spans="2:2" s="1" customFormat="1">
      <c r="B188" s="20"/>
    </row>
    <row r="189" spans="2:2" s="1" customFormat="1">
      <c r="B189" s="20"/>
    </row>
    <row r="190" spans="2:2" s="1" customFormat="1">
      <c r="B190" s="20"/>
    </row>
    <row r="191" spans="2:2" s="1" customFormat="1">
      <c r="B191" s="20"/>
    </row>
    <row r="192" spans="2:2" s="1" customFormat="1">
      <c r="B192" s="20"/>
    </row>
    <row r="193" spans="2:2" s="1" customFormat="1">
      <c r="B193" s="20"/>
    </row>
    <row r="194" spans="2:2" s="1" customFormat="1">
      <c r="B194" s="20"/>
    </row>
    <row r="195" spans="2:2" s="1" customFormat="1">
      <c r="B195" s="20"/>
    </row>
    <row r="196" spans="2:2" s="1" customFormat="1">
      <c r="B196" s="20"/>
    </row>
    <row r="197" spans="2:2" s="1" customFormat="1">
      <c r="B197" s="20"/>
    </row>
    <row r="198" spans="2:2" s="1" customFormat="1">
      <c r="B198" s="20"/>
    </row>
    <row r="199" spans="2:2" s="1" customFormat="1">
      <c r="B199" s="20"/>
    </row>
    <row r="200" spans="2:2" s="1" customFormat="1">
      <c r="B200" s="20"/>
    </row>
    <row r="201" spans="2:2" s="1" customFormat="1">
      <c r="B201" s="20"/>
    </row>
    <row r="202" spans="2:2" s="1" customFormat="1">
      <c r="B202" s="20"/>
    </row>
    <row r="203" spans="2:2" s="1" customFormat="1">
      <c r="B203" s="20"/>
    </row>
    <row r="204" spans="2:2" s="1" customFormat="1">
      <c r="B204" s="20"/>
    </row>
    <row r="205" spans="2:2" s="1" customFormat="1">
      <c r="B205" s="20"/>
    </row>
    <row r="206" spans="2:2" s="1" customFormat="1">
      <c r="B206" s="20"/>
    </row>
    <row r="207" spans="2:2" s="1" customFormat="1">
      <c r="B207" s="20"/>
    </row>
    <row r="208" spans="2:2" s="1" customFormat="1">
      <c r="B208" s="20"/>
    </row>
    <row r="209" spans="2:2" s="1" customFormat="1">
      <c r="B209" s="20"/>
    </row>
    <row r="210" spans="2:2" s="1" customFormat="1">
      <c r="B210" s="20"/>
    </row>
    <row r="211" spans="2:2" s="1" customFormat="1">
      <c r="B211" s="20"/>
    </row>
    <row r="212" spans="2:2" s="1" customFormat="1">
      <c r="B212" s="20"/>
    </row>
    <row r="213" spans="2:2" s="1" customFormat="1">
      <c r="B213" s="20"/>
    </row>
    <row r="214" spans="2:2" s="1" customFormat="1">
      <c r="B214" s="20"/>
    </row>
    <row r="215" spans="2:2" s="1" customFormat="1">
      <c r="B215" s="20"/>
    </row>
    <row r="216" spans="2:2" s="1" customFormat="1">
      <c r="B216" s="20"/>
    </row>
    <row r="217" spans="2:2" s="1" customFormat="1">
      <c r="B217" s="20"/>
    </row>
    <row r="218" spans="2:2" s="1" customFormat="1">
      <c r="B218" s="20"/>
    </row>
    <row r="219" spans="2:2" s="1" customFormat="1">
      <c r="B219" s="20"/>
    </row>
    <row r="220" spans="2:2" s="1" customFormat="1">
      <c r="B220" s="20"/>
    </row>
    <row r="221" spans="2:2" s="1" customFormat="1">
      <c r="B221" s="20"/>
    </row>
    <row r="222" spans="2:2" s="1" customFormat="1">
      <c r="B222" s="20"/>
    </row>
    <row r="223" spans="2:2" s="1" customFormat="1">
      <c r="B223" s="20"/>
    </row>
    <row r="224" spans="2:2" s="1" customFormat="1">
      <c r="B224" s="20"/>
    </row>
    <row r="225" spans="2:2" s="1" customFormat="1">
      <c r="B225" s="20"/>
    </row>
    <row r="226" spans="2:2" s="1" customFormat="1">
      <c r="B226" s="20"/>
    </row>
    <row r="227" spans="2:2" s="1" customFormat="1">
      <c r="B227" s="20"/>
    </row>
    <row r="228" spans="2:2" s="1" customFormat="1">
      <c r="B228" s="20"/>
    </row>
    <row r="229" spans="2:2" s="1" customFormat="1">
      <c r="B229" s="20"/>
    </row>
    <row r="230" spans="2:2" s="1" customFormat="1">
      <c r="B230" s="20"/>
    </row>
    <row r="231" spans="2:2" s="1" customFormat="1">
      <c r="B231" s="20"/>
    </row>
    <row r="232" spans="2:2" s="1" customFormat="1">
      <c r="B232" s="20"/>
    </row>
    <row r="233" spans="2:2" s="1" customFormat="1">
      <c r="B233" s="20"/>
    </row>
    <row r="234" spans="2:2" s="1" customFormat="1">
      <c r="B234" s="20"/>
    </row>
    <row r="235" spans="2:2" s="1" customFormat="1">
      <c r="B235" s="20"/>
    </row>
    <row r="236" spans="2:2" s="1" customFormat="1">
      <c r="B236" s="20"/>
    </row>
    <row r="237" spans="2:2" s="1" customFormat="1">
      <c r="B237" s="20"/>
    </row>
    <row r="238" spans="2:2" s="1" customFormat="1">
      <c r="B238" s="20"/>
    </row>
    <row r="239" spans="2:2" s="1" customFormat="1">
      <c r="B239" s="20"/>
    </row>
    <row r="240" spans="2:2" s="1" customFormat="1">
      <c r="B240" s="20"/>
    </row>
    <row r="241" spans="2:2" s="1" customFormat="1">
      <c r="B241" s="20"/>
    </row>
    <row r="242" spans="2:2" s="1" customFormat="1">
      <c r="B242" s="20"/>
    </row>
    <row r="243" spans="2:2" s="1" customFormat="1">
      <c r="B243" s="20"/>
    </row>
    <row r="244" spans="2:2" s="1" customFormat="1">
      <c r="B244" s="20"/>
    </row>
    <row r="245" spans="2:2" s="1" customFormat="1">
      <c r="B245" s="20"/>
    </row>
    <row r="246" spans="2:2" s="1" customFormat="1">
      <c r="B246" s="20"/>
    </row>
    <row r="247" spans="2:2" s="1" customFormat="1">
      <c r="B247" s="20"/>
    </row>
    <row r="248" spans="2:2" s="1" customFormat="1">
      <c r="B248" s="20"/>
    </row>
    <row r="249" spans="2:2" s="1" customFormat="1">
      <c r="B249" s="20"/>
    </row>
    <row r="250" spans="2:2" s="1" customFormat="1">
      <c r="B250" s="20"/>
    </row>
    <row r="251" spans="2:2" s="1" customFormat="1">
      <c r="B251" s="20"/>
    </row>
    <row r="252" spans="2:2" s="1" customFormat="1">
      <c r="B252" s="20"/>
    </row>
    <row r="253" spans="2:2" s="1" customFormat="1">
      <c r="B253" s="20"/>
    </row>
    <row r="254" spans="2:2" s="1" customFormat="1">
      <c r="B254" s="20"/>
    </row>
    <row r="255" spans="2:2" s="1" customFormat="1">
      <c r="B255" s="20"/>
    </row>
    <row r="256" spans="2:2" s="1" customFormat="1">
      <c r="B256" s="20"/>
    </row>
    <row r="257" spans="2:2" s="1" customFormat="1">
      <c r="B257" s="20"/>
    </row>
    <row r="258" spans="2:2" s="1" customFormat="1">
      <c r="B258" s="20"/>
    </row>
    <row r="259" spans="2:2" s="1" customFormat="1">
      <c r="B259" s="20"/>
    </row>
    <row r="260" spans="2:2" s="1" customFormat="1">
      <c r="B260" s="20"/>
    </row>
    <row r="261" spans="2:2" s="1" customFormat="1">
      <c r="B261" s="20"/>
    </row>
    <row r="262" spans="2:2" s="1" customFormat="1">
      <c r="B262" s="20"/>
    </row>
    <row r="263" spans="2:2" s="1" customFormat="1">
      <c r="B263" s="20"/>
    </row>
    <row r="264" spans="2:2" s="1" customFormat="1">
      <c r="B264" s="20"/>
    </row>
    <row r="265" spans="2:2" s="1" customFormat="1">
      <c r="B265" s="20"/>
    </row>
    <row r="266" spans="2:2" s="1" customFormat="1">
      <c r="B266" s="20"/>
    </row>
    <row r="267" spans="2:2" s="1" customFormat="1">
      <c r="B267" s="20"/>
    </row>
    <row r="268" spans="2:2" s="1" customFormat="1">
      <c r="B268" s="20"/>
    </row>
    <row r="269" spans="2:2" s="1" customFormat="1">
      <c r="B269" s="20"/>
    </row>
    <row r="270" spans="2:2" s="1" customFormat="1">
      <c r="B270" s="20"/>
    </row>
    <row r="271" spans="2:2" s="1" customFormat="1">
      <c r="B271" s="20"/>
    </row>
    <row r="272" spans="2:2" s="1" customFormat="1">
      <c r="B272" s="20"/>
    </row>
    <row r="273" spans="2:2" s="1" customFormat="1">
      <c r="B273" s="20"/>
    </row>
    <row r="274" spans="2:2" s="1" customFormat="1">
      <c r="B274" s="20"/>
    </row>
    <row r="275" spans="2:2" s="1" customFormat="1">
      <c r="B275" s="20"/>
    </row>
    <row r="276" spans="2:2" s="1" customFormat="1">
      <c r="B276" s="20"/>
    </row>
    <row r="277" spans="2:2" s="1" customFormat="1">
      <c r="B277" s="20"/>
    </row>
    <row r="278" spans="2:2" s="1" customFormat="1">
      <c r="B278" s="20"/>
    </row>
    <row r="279" spans="2:2" s="1" customFormat="1">
      <c r="B279" s="20"/>
    </row>
    <row r="280" spans="2:2" s="1" customFormat="1">
      <c r="B280" s="20"/>
    </row>
    <row r="281" spans="2:2" s="1" customFormat="1">
      <c r="B281" s="20"/>
    </row>
    <row r="282" spans="2:2" s="1" customFormat="1">
      <c r="B282" s="20"/>
    </row>
    <row r="283" spans="2:2" s="1" customFormat="1">
      <c r="B283" s="20"/>
    </row>
    <row r="284" spans="2:2" s="1" customFormat="1">
      <c r="B284" s="20"/>
    </row>
    <row r="285" spans="2:2" s="1" customFormat="1">
      <c r="B285" s="20"/>
    </row>
    <row r="286" spans="2:2" s="1" customFormat="1">
      <c r="B286" s="20"/>
    </row>
    <row r="287" spans="2:2" s="1" customFormat="1">
      <c r="B287" s="20"/>
    </row>
    <row r="288" spans="2:2" s="1" customFormat="1">
      <c r="B288" s="20"/>
    </row>
    <row r="289" spans="2:2" s="1" customFormat="1">
      <c r="B289" s="20"/>
    </row>
    <row r="290" spans="2:2" s="1" customFormat="1">
      <c r="B290" s="20"/>
    </row>
    <row r="291" spans="2:2" s="1" customFormat="1">
      <c r="B291" s="20"/>
    </row>
    <row r="292" spans="2:2" s="1" customFormat="1">
      <c r="B292" s="20"/>
    </row>
    <row r="293" spans="2:2" s="1" customFormat="1">
      <c r="B293" s="20"/>
    </row>
    <row r="294" spans="2:2" s="1" customFormat="1">
      <c r="B294" s="20"/>
    </row>
    <row r="295" spans="2:2" s="1" customFormat="1">
      <c r="B295" s="20"/>
    </row>
    <row r="296" spans="2:2" s="1" customFormat="1">
      <c r="B296" s="20"/>
    </row>
    <row r="297" spans="2:2" s="1" customFormat="1">
      <c r="B297" s="20"/>
    </row>
    <row r="298" spans="2:2" s="1" customFormat="1">
      <c r="B298" s="20"/>
    </row>
    <row r="299" spans="2:2" s="1" customFormat="1">
      <c r="B299" s="20"/>
    </row>
    <row r="300" spans="2:2" s="1" customFormat="1">
      <c r="B300" s="20"/>
    </row>
    <row r="301" spans="2:2" s="1" customFormat="1">
      <c r="B301" s="20"/>
    </row>
    <row r="302" spans="2:2" s="1" customFormat="1">
      <c r="B302" s="20"/>
    </row>
    <row r="303" spans="2:2" s="1" customFormat="1">
      <c r="B303" s="20"/>
    </row>
    <row r="304" spans="2:2" s="1" customFormat="1">
      <c r="B304" s="20"/>
    </row>
    <row r="305" spans="2:2" s="1" customFormat="1">
      <c r="B305" s="20"/>
    </row>
    <row r="306" spans="2:2" s="1" customFormat="1">
      <c r="B306" s="20"/>
    </row>
    <row r="307" spans="2:2" s="1" customFormat="1">
      <c r="B307" s="20"/>
    </row>
    <row r="308" spans="2:2" s="1" customFormat="1">
      <c r="B308" s="20"/>
    </row>
    <row r="309" spans="2:2" s="1" customFormat="1">
      <c r="B309" s="20"/>
    </row>
    <row r="310" spans="2:2" s="1" customFormat="1">
      <c r="B310" s="20"/>
    </row>
    <row r="311" spans="2:2" s="1" customFormat="1">
      <c r="B311" s="20"/>
    </row>
    <row r="312" spans="2:2" s="1" customFormat="1">
      <c r="B312" s="20"/>
    </row>
    <row r="313" spans="2:2" s="1" customFormat="1">
      <c r="B313" s="20"/>
    </row>
    <row r="314" spans="2:2" s="1" customFormat="1">
      <c r="B314" s="20"/>
    </row>
    <row r="315" spans="2:2" s="1" customFormat="1">
      <c r="B315" s="20"/>
    </row>
    <row r="316" spans="2:2" s="1" customFormat="1">
      <c r="B316" s="20"/>
    </row>
    <row r="317" spans="2:2" s="1" customFormat="1">
      <c r="B317" s="20"/>
    </row>
    <row r="318" spans="2:2" s="1" customFormat="1">
      <c r="B318" s="20"/>
    </row>
    <row r="319" spans="2:2" s="1" customFormat="1">
      <c r="B319" s="20"/>
    </row>
    <row r="320" spans="2:2" s="1" customFormat="1">
      <c r="B320" s="20"/>
    </row>
    <row r="321" spans="2:2" s="1" customFormat="1">
      <c r="B321" s="20"/>
    </row>
    <row r="322" spans="2:2" s="1" customFormat="1">
      <c r="B322" s="20"/>
    </row>
    <row r="323" spans="2:2" s="1" customFormat="1">
      <c r="B323" s="20"/>
    </row>
    <row r="324" spans="2:2" s="1" customFormat="1">
      <c r="B324" s="20"/>
    </row>
    <row r="325" spans="2:2" s="1" customFormat="1">
      <c r="B325" s="20"/>
    </row>
    <row r="326" spans="2:2" s="1" customFormat="1">
      <c r="B326" s="20"/>
    </row>
    <row r="327" spans="2:2" s="1" customFormat="1">
      <c r="B327" s="20"/>
    </row>
    <row r="328" spans="2:2" s="1" customFormat="1">
      <c r="B328" s="20"/>
    </row>
    <row r="329" spans="2:2" s="1" customFormat="1">
      <c r="B329" s="20"/>
    </row>
    <row r="330" spans="2:2" s="1" customFormat="1">
      <c r="B330" s="20"/>
    </row>
    <row r="331" spans="2:2" s="1" customFormat="1">
      <c r="B331" s="20"/>
    </row>
    <row r="332" spans="2:2" s="1" customFormat="1">
      <c r="B332" s="20"/>
    </row>
    <row r="333" spans="2:2" s="1" customFormat="1">
      <c r="B333" s="20"/>
    </row>
    <row r="334" spans="2:2" s="1" customFormat="1">
      <c r="B334" s="20"/>
    </row>
    <row r="335" spans="2:2" s="1" customFormat="1">
      <c r="B335" s="20"/>
    </row>
    <row r="336" spans="2:2" s="1" customFormat="1">
      <c r="B336" s="20"/>
    </row>
    <row r="337" spans="2:2" s="1" customFormat="1">
      <c r="B337" s="20"/>
    </row>
    <row r="338" spans="2:2" s="1" customFormat="1">
      <c r="B338" s="20"/>
    </row>
    <row r="339" spans="2:2" s="1" customFormat="1">
      <c r="B339" s="20"/>
    </row>
    <row r="340" spans="2:2" s="1" customFormat="1">
      <c r="B340" s="20"/>
    </row>
    <row r="341" spans="2:2" s="1" customFormat="1">
      <c r="B341" s="20"/>
    </row>
    <row r="342" spans="2:2" s="1" customFormat="1">
      <c r="B342" s="20"/>
    </row>
    <row r="343" spans="2:2" s="1" customFormat="1">
      <c r="B343" s="20"/>
    </row>
    <row r="344" spans="2:2" s="1" customFormat="1">
      <c r="B344" s="20"/>
    </row>
    <row r="345" spans="2:2" s="1" customFormat="1">
      <c r="B345" s="20"/>
    </row>
    <row r="346" spans="2:2" s="1" customFormat="1">
      <c r="B346" s="20"/>
    </row>
    <row r="347" spans="2:2" s="1" customFormat="1">
      <c r="B347" s="20"/>
    </row>
    <row r="348" spans="2:2" s="1" customFormat="1">
      <c r="B348" s="20"/>
    </row>
    <row r="349" spans="2:2" s="1" customFormat="1">
      <c r="B349" s="20"/>
    </row>
    <row r="350" spans="2:2" s="1" customFormat="1">
      <c r="B350" s="20"/>
    </row>
    <row r="351" spans="2:2" s="1" customFormat="1">
      <c r="B351" s="20"/>
    </row>
    <row r="352" spans="2:2" s="1" customFormat="1">
      <c r="B352" s="20"/>
    </row>
    <row r="353" spans="2:2" s="1" customFormat="1">
      <c r="B353" s="20"/>
    </row>
    <row r="354" spans="2:2" s="1" customFormat="1">
      <c r="B354" s="20"/>
    </row>
    <row r="355" spans="2:2" s="1" customFormat="1">
      <c r="B355" s="20"/>
    </row>
    <row r="356" spans="2:2" s="1" customFormat="1">
      <c r="B356" s="20"/>
    </row>
    <row r="357" spans="2:2" s="1" customFormat="1">
      <c r="B357" s="20"/>
    </row>
    <row r="358" spans="2:2" s="1" customFormat="1">
      <c r="B358" s="20"/>
    </row>
    <row r="359" spans="2:2" s="1" customFormat="1">
      <c r="B359" s="20"/>
    </row>
    <row r="360" spans="2:2" s="1" customFormat="1">
      <c r="B360" s="20"/>
    </row>
    <row r="361" spans="2:2" s="1" customFormat="1">
      <c r="B361" s="20"/>
    </row>
    <row r="362" spans="2:2" s="1" customFormat="1">
      <c r="B362" s="20"/>
    </row>
    <row r="363" spans="2:2" s="1" customFormat="1">
      <c r="B363" s="20"/>
    </row>
    <row r="364" spans="2:2" s="1" customFormat="1">
      <c r="B364" s="20"/>
    </row>
    <row r="365" spans="2:2" s="1" customFormat="1">
      <c r="B365" s="20"/>
    </row>
    <row r="366" spans="2:2" s="1" customFormat="1">
      <c r="B366" s="20"/>
    </row>
    <row r="367" spans="2:2" s="1" customFormat="1">
      <c r="B367" s="20"/>
    </row>
    <row r="368" spans="2:2" s="1" customFormat="1">
      <c r="B368" s="20"/>
    </row>
    <row r="369" spans="2:2" s="1" customFormat="1">
      <c r="B369" s="20"/>
    </row>
    <row r="370" spans="2:2" s="1" customFormat="1">
      <c r="B370" s="20"/>
    </row>
    <row r="371" spans="2:2" s="1" customFormat="1">
      <c r="B371" s="20"/>
    </row>
    <row r="372" spans="2:2" s="1" customFormat="1">
      <c r="B372" s="20"/>
    </row>
    <row r="373" spans="2:2" s="1" customFormat="1">
      <c r="B373" s="20"/>
    </row>
    <row r="374" spans="2:2" s="1" customFormat="1">
      <c r="B374" s="20"/>
    </row>
    <row r="375" spans="2:2" s="1" customFormat="1">
      <c r="B375" s="20"/>
    </row>
    <row r="376" spans="2:2" s="1" customFormat="1">
      <c r="B376" s="20"/>
    </row>
    <row r="377" spans="2:2" s="1" customFormat="1">
      <c r="B377" s="20"/>
    </row>
    <row r="378" spans="2:2" s="1" customFormat="1">
      <c r="B378" s="20"/>
    </row>
    <row r="379" spans="2:2" s="1" customFormat="1">
      <c r="B379" s="20"/>
    </row>
    <row r="380" spans="2:2" s="1" customFormat="1">
      <c r="B380" s="20"/>
    </row>
    <row r="381" spans="2:2" s="1" customFormat="1">
      <c r="B381" s="20"/>
    </row>
    <row r="382" spans="2:2" s="1" customFormat="1">
      <c r="B382" s="20"/>
    </row>
    <row r="383" spans="2:2" s="1" customFormat="1">
      <c r="B383" s="20"/>
    </row>
    <row r="384" spans="2:2" s="1" customFormat="1">
      <c r="B384" s="20"/>
    </row>
    <row r="385" spans="2:2" s="1" customFormat="1">
      <c r="B385" s="20"/>
    </row>
    <row r="386" spans="2:2" s="1" customFormat="1">
      <c r="B386" s="20"/>
    </row>
    <row r="387" spans="2:2" s="1" customFormat="1">
      <c r="B387" s="20"/>
    </row>
    <row r="388" spans="2:2" s="1" customFormat="1">
      <c r="B388" s="20"/>
    </row>
    <row r="389" spans="2:2" s="1" customFormat="1">
      <c r="B389" s="20"/>
    </row>
    <row r="390" spans="2:2" s="1" customFormat="1">
      <c r="B390" s="20"/>
    </row>
    <row r="391" spans="2:2" s="1" customFormat="1">
      <c r="B391" s="20"/>
    </row>
    <row r="392" spans="2:2" s="1" customFormat="1">
      <c r="B392" s="20"/>
    </row>
    <row r="393" spans="2:2" s="1" customFormat="1">
      <c r="B393" s="20"/>
    </row>
    <row r="394" spans="2:2" s="1" customFormat="1">
      <c r="B394" s="20"/>
    </row>
    <row r="395" spans="2:2" s="1" customFormat="1">
      <c r="B395" s="20"/>
    </row>
    <row r="396" spans="2:2" s="1" customFormat="1">
      <c r="B396" s="20"/>
    </row>
    <row r="397" spans="2:2" s="1" customFormat="1">
      <c r="B397" s="20"/>
    </row>
    <row r="398" spans="2:2" s="1" customFormat="1">
      <c r="B398" s="20"/>
    </row>
    <row r="399" spans="2:2" s="1" customFormat="1">
      <c r="B399" s="20"/>
    </row>
    <row r="400" spans="2:2" s="1" customFormat="1">
      <c r="B400" s="20"/>
    </row>
    <row r="401" spans="2:2" s="1" customFormat="1">
      <c r="B401" s="20"/>
    </row>
    <row r="402" spans="2:2" s="1" customFormat="1">
      <c r="B402" s="20"/>
    </row>
    <row r="403" spans="2:2" s="1" customFormat="1">
      <c r="B403" s="20"/>
    </row>
    <row r="404" spans="2:2" s="1" customFormat="1">
      <c r="B404" s="20"/>
    </row>
    <row r="405" spans="2:2" s="1" customFormat="1">
      <c r="B405" s="20"/>
    </row>
    <row r="406" spans="2:2" s="1" customFormat="1">
      <c r="B406" s="20"/>
    </row>
    <row r="407" spans="2:2" s="1" customFormat="1">
      <c r="B407" s="20"/>
    </row>
    <row r="408" spans="2:2" s="1" customFormat="1">
      <c r="B408" s="20"/>
    </row>
    <row r="409" spans="2:2" s="1" customFormat="1">
      <c r="B409" s="20"/>
    </row>
    <row r="410" spans="2:2" s="1" customFormat="1">
      <c r="B410" s="20"/>
    </row>
    <row r="411" spans="2:2" s="1" customFormat="1">
      <c r="B411" s="20"/>
    </row>
    <row r="412" spans="2:2" s="1" customFormat="1">
      <c r="B412" s="20"/>
    </row>
    <row r="413" spans="2:2" s="1" customFormat="1">
      <c r="B413" s="20"/>
    </row>
    <row r="414" spans="2:2" s="1" customFormat="1">
      <c r="B414" s="20"/>
    </row>
    <row r="415" spans="2:2" s="1" customFormat="1">
      <c r="B415" s="20"/>
    </row>
    <row r="416" spans="2:2" s="1" customFormat="1">
      <c r="B416" s="20"/>
    </row>
    <row r="417" spans="2:2" s="1" customFormat="1">
      <c r="B417" s="20"/>
    </row>
    <row r="418" spans="2:2" s="1" customFormat="1">
      <c r="B418" s="20"/>
    </row>
    <row r="419" spans="2:2" s="1" customFormat="1">
      <c r="B419" s="20"/>
    </row>
    <row r="420" spans="2:2" s="1" customFormat="1">
      <c r="B420" s="20"/>
    </row>
    <row r="421" spans="2:2" s="1" customFormat="1">
      <c r="B421" s="20"/>
    </row>
    <row r="422" spans="2:2" s="1" customFormat="1">
      <c r="B422" s="20"/>
    </row>
    <row r="423" spans="2:2" s="1" customFormat="1">
      <c r="B423" s="20"/>
    </row>
    <row r="424" spans="2:2" s="1" customFormat="1">
      <c r="B424" s="20"/>
    </row>
    <row r="425" spans="2:2" s="1" customFormat="1">
      <c r="B425" s="20"/>
    </row>
    <row r="426" spans="2:2" s="1" customFormat="1">
      <c r="B426" s="20"/>
    </row>
    <row r="427" spans="2:2" s="1" customFormat="1">
      <c r="B427" s="20"/>
    </row>
    <row r="428" spans="2:2" s="1" customFormat="1">
      <c r="B428" s="20"/>
    </row>
    <row r="429" spans="2:2" s="1" customFormat="1">
      <c r="B429" s="20"/>
    </row>
    <row r="430" spans="2:2" s="1" customFormat="1">
      <c r="B430" s="20"/>
    </row>
    <row r="431" spans="2:2" s="1" customFormat="1">
      <c r="B431" s="20"/>
    </row>
    <row r="432" spans="2:2" s="1" customFormat="1">
      <c r="B432" s="20"/>
    </row>
    <row r="433" spans="2:2" s="1" customFormat="1">
      <c r="B433" s="20"/>
    </row>
    <row r="434" spans="2:2" s="1" customFormat="1">
      <c r="B434" s="20"/>
    </row>
    <row r="435" spans="2:2" s="1" customFormat="1">
      <c r="B435" s="20"/>
    </row>
    <row r="436" spans="2:2" s="1" customFormat="1">
      <c r="B436" s="20"/>
    </row>
    <row r="437" spans="2:2" s="1" customFormat="1">
      <c r="B437" s="20"/>
    </row>
    <row r="438" spans="2:2" s="1" customFormat="1">
      <c r="B438" s="20"/>
    </row>
    <row r="439" spans="2:2" s="1" customFormat="1">
      <c r="B439" s="20"/>
    </row>
    <row r="440" spans="2:2" s="1" customFormat="1">
      <c r="B440" s="20"/>
    </row>
    <row r="441" spans="2:2" s="1" customFormat="1">
      <c r="B441" s="20"/>
    </row>
    <row r="442" spans="2:2" s="1" customFormat="1">
      <c r="B442" s="20"/>
    </row>
    <row r="443" spans="2:2" s="1" customFormat="1">
      <c r="B443" s="20"/>
    </row>
    <row r="444" spans="2:2" s="1" customFormat="1">
      <c r="B444" s="20"/>
    </row>
    <row r="445" spans="2:2" s="1" customFormat="1">
      <c r="B445" s="20"/>
    </row>
    <row r="446" spans="2:2" s="1" customFormat="1">
      <c r="B446" s="20"/>
    </row>
    <row r="447" spans="2:2" s="1" customFormat="1">
      <c r="B447" s="20"/>
    </row>
    <row r="448" spans="2:2" s="1" customFormat="1">
      <c r="B448" s="20"/>
    </row>
    <row r="449" spans="2:2" s="1" customFormat="1">
      <c r="B449" s="20"/>
    </row>
    <row r="450" spans="2:2" s="1" customFormat="1">
      <c r="B450" s="20"/>
    </row>
    <row r="451" spans="2:2" s="1" customFormat="1">
      <c r="B451" s="20"/>
    </row>
    <row r="452" spans="2:2" s="1" customFormat="1">
      <c r="B452" s="20"/>
    </row>
    <row r="453" spans="2:2" s="1" customFormat="1">
      <c r="B453" s="20"/>
    </row>
    <row r="454" spans="2:2" s="1" customFormat="1">
      <c r="B454" s="20"/>
    </row>
    <row r="455" spans="2:2" s="1" customFormat="1">
      <c r="B455" s="20"/>
    </row>
    <row r="456" spans="2:2" s="1" customFormat="1">
      <c r="B456" s="20"/>
    </row>
    <row r="457" spans="2:2" s="1" customFormat="1">
      <c r="B457" s="20"/>
    </row>
    <row r="458" spans="2:2" s="1" customFormat="1">
      <c r="B458" s="20"/>
    </row>
    <row r="459" spans="2:2" s="1" customFormat="1">
      <c r="B459" s="20"/>
    </row>
    <row r="460" spans="2:2" s="1" customFormat="1">
      <c r="B460" s="20"/>
    </row>
    <row r="461" spans="2:2" s="1" customFormat="1">
      <c r="B461" s="20"/>
    </row>
    <row r="462" spans="2:2" s="1" customFormat="1">
      <c r="B462" s="20"/>
    </row>
    <row r="463" spans="2:2" s="1" customFormat="1">
      <c r="B463" s="20"/>
    </row>
    <row r="464" spans="2:2" s="1" customFormat="1">
      <c r="B464" s="20"/>
    </row>
    <row r="465" spans="2:2" s="1" customFormat="1">
      <c r="B465" s="20"/>
    </row>
    <row r="466" spans="2:2" s="1" customFormat="1">
      <c r="B466" s="20"/>
    </row>
    <row r="467" spans="2:2" s="1" customFormat="1">
      <c r="B467" s="20"/>
    </row>
    <row r="468" spans="2:2" s="1" customFormat="1">
      <c r="B468" s="20"/>
    </row>
    <row r="469" spans="2:2" s="1" customFormat="1">
      <c r="B469" s="20"/>
    </row>
    <row r="470" spans="2:2" s="1" customFormat="1">
      <c r="B470" s="20"/>
    </row>
    <row r="471" spans="2:2" s="1" customFormat="1">
      <c r="B471" s="20"/>
    </row>
    <row r="472" spans="2:2" s="1" customFormat="1">
      <c r="B472" s="20"/>
    </row>
    <row r="473" spans="2:2" s="1" customFormat="1">
      <c r="B473" s="20"/>
    </row>
    <row r="474" spans="2:2" s="1" customFormat="1">
      <c r="B474" s="20"/>
    </row>
    <row r="475" spans="2:2" s="1" customFormat="1">
      <c r="B475" s="20"/>
    </row>
    <row r="476" spans="2:2" s="1" customFormat="1">
      <c r="B476" s="20"/>
    </row>
    <row r="477" spans="2:2" s="1" customFormat="1">
      <c r="B477" s="20"/>
    </row>
    <row r="478" spans="2:2" s="1" customFormat="1">
      <c r="B478" s="20"/>
    </row>
    <row r="479" spans="2:2" s="1" customFormat="1">
      <c r="B479" s="20"/>
    </row>
    <row r="480" spans="2:2" s="1" customFormat="1">
      <c r="B480" s="20"/>
    </row>
    <row r="481" spans="1:10">
      <c r="A481" s="1"/>
      <c r="B481" s="20"/>
      <c r="G481" s="1"/>
      <c r="H481" s="1"/>
      <c r="I481" s="1"/>
      <c r="J481" s="1"/>
    </row>
    <row r="482" spans="1:10">
      <c r="A482" s="1"/>
      <c r="B482" s="20"/>
      <c r="G482" s="1"/>
      <c r="H482" s="1"/>
      <c r="I482" s="1"/>
      <c r="J482" s="1"/>
    </row>
    <row r="483" spans="1:10">
      <c r="A483" s="1"/>
      <c r="B483" s="20"/>
      <c r="G483" s="1"/>
      <c r="H483" s="1"/>
      <c r="I483" s="1"/>
      <c r="J483" s="1"/>
    </row>
    <row r="484" spans="1:10">
      <c r="A484" s="1"/>
      <c r="B484" s="20"/>
      <c r="G484" s="1"/>
      <c r="H484" s="1"/>
      <c r="I484" s="1"/>
      <c r="J484" s="1"/>
    </row>
    <row r="485" spans="1:10">
      <c r="A485" s="1"/>
      <c r="B485" s="20"/>
      <c r="G485" s="1"/>
      <c r="H485" s="1"/>
      <c r="I485" s="1"/>
      <c r="J485" s="1"/>
    </row>
    <row r="486" spans="1:10">
      <c r="A486" s="1"/>
      <c r="B486" s="20"/>
      <c r="G486" s="1"/>
      <c r="H486" s="1"/>
      <c r="I486" s="1"/>
      <c r="J486" s="1"/>
    </row>
    <row r="487" spans="1:10">
      <c r="A487" s="1"/>
      <c r="B487" s="20"/>
      <c r="G487" s="1"/>
      <c r="H487" s="1"/>
      <c r="I487" s="1"/>
      <c r="J487" s="1"/>
    </row>
    <row r="488" spans="1:10">
      <c r="A488" s="1"/>
      <c r="B488" s="20"/>
      <c r="G488" s="1"/>
      <c r="H488" s="1"/>
      <c r="I488" s="1"/>
      <c r="J488" s="1"/>
    </row>
    <row r="489" spans="1:10">
      <c r="A489" s="1"/>
      <c r="B489" s="20"/>
      <c r="G489" s="1"/>
      <c r="H489" s="1"/>
      <c r="I489" s="1"/>
      <c r="J489" s="1"/>
    </row>
    <row r="490" spans="1:10">
      <c r="A490" s="1"/>
      <c r="B490" s="20"/>
      <c r="G490" s="1"/>
      <c r="H490" s="1"/>
      <c r="I490" s="1"/>
      <c r="J490" s="1"/>
    </row>
    <row r="491" spans="1:10">
      <c r="G491" s="1"/>
      <c r="H491" s="1"/>
      <c r="I491" s="1"/>
      <c r="J491" s="1"/>
    </row>
    <row r="492" spans="1:10">
      <c r="G492" s="1"/>
      <c r="H492" s="1"/>
      <c r="I492" s="1"/>
      <c r="J492" s="1"/>
    </row>
    <row r="493" spans="1:10">
      <c r="G493" s="1"/>
      <c r="H493" s="1"/>
      <c r="I493" s="1"/>
      <c r="J493" s="1"/>
    </row>
    <row r="494" spans="1:10">
      <c r="G494" s="1"/>
      <c r="H494" s="1"/>
      <c r="I494" s="1"/>
      <c r="J494" s="1"/>
    </row>
    <row r="495" spans="1:10">
      <c r="G495" s="1"/>
      <c r="H495" s="1"/>
      <c r="I495" s="1"/>
      <c r="J495" s="1"/>
    </row>
    <row r="496" spans="1:10">
      <c r="G496" s="1"/>
      <c r="H496" s="1"/>
      <c r="I496" s="1"/>
      <c r="J496" s="1"/>
    </row>
    <row r="497" spans="7:10">
      <c r="G497" s="1"/>
      <c r="H497" s="1"/>
      <c r="I497" s="1"/>
      <c r="J497" s="1"/>
    </row>
    <row r="498" spans="7:10">
      <c r="G498" s="1"/>
      <c r="H498" s="1"/>
      <c r="I498" s="1"/>
      <c r="J498" s="1"/>
    </row>
    <row r="499" spans="7:10">
      <c r="G499" s="1"/>
      <c r="H499" s="1"/>
      <c r="I499" s="1"/>
      <c r="J499" s="1"/>
    </row>
    <row r="500" spans="7:10">
      <c r="G500" s="1"/>
      <c r="H500" s="1"/>
      <c r="I500" s="1"/>
      <c r="J500" s="1"/>
    </row>
    <row r="501" spans="7:10">
      <c r="G501" s="1"/>
      <c r="H501" s="1"/>
      <c r="I501" s="1"/>
      <c r="J501" s="1"/>
    </row>
    <row r="502" spans="7:10">
      <c r="G502" s="1"/>
      <c r="H502" s="1"/>
      <c r="I502" s="1"/>
      <c r="J502" s="1"/>
    </row>
    <row r="503" spans="7:10">
      <c r="G503" s="1"/>
      <c r="H503" s="1"/>
      <c r="I503" s="1"/>
      <c r="J503" s="1"/>
    </row>
    <row r="504" spans="7:10">
      <c r="G504" s="1"/>
      <c r="H504" s="1"/>
      <c r="I504" s="1"/>
      <c r="J504" s="1"/>
    </row>
    <row r="505" spans="7:10">
      <c r="G505" s="1"/>
      <c r="H505" s="1"/>
      <c r="I505" s="1"/>
      <c r="J505" s="1"/>
    </row>
    <row r="506" spans="7:10">
      <c r="G506" s="1"/>
      <c r="H506" s="1"/>
      <c r="I506" s="1"/>
      <c r="J506" s="1"/>
    </row>
    <row r="507" spans="7:10">
      <c r="G507" s="1"/>
      <c r="H507" s="1"/>
      <c r="I507" s="1"/>
      <c r="J507" s="1"/>
    </row>
    <row r="508" spans="7:10">
      <c r="G508" s="1"/>
      <c r="H508" s="1"/>
      <c r="I508" s="1"/>
      <c r="J508" s="1"/>
    </row>
    <row r="509" spans="7:10">
      <c r="G509" s="1"/>
      <c r="H509" s="1"/>
      <c r="I509" s="1"/>
      <c r="J509" s="1"/>
    </row>
    <row r="510" spans="7:10">
      <c r="G510" s="1"/>
      <c r="H510" s="1"/>
      <c r="I510" s="1"/>
      <c r="J510" s="1"/>
    </row>
    <row r="511" spans="7:10">
      <c r="G511" s="1"/>
      <c r="H511" s="1"/>
      <c r="I511" s="1"/>
      <c r="J511" s="1"/>
    </row>
    <row r="512" spans="7:10">
      <c r="G512" s="1"/>
      <c r="H512" s="1"/>
      <c r="I512" s="1"/>
      <c r="J512" s="1"/>
    </row>
    <row r="513" spans="7:10">
      <c r="G513" s="1"/>
      <c r="H513" s="1"/>
      <c r="I513" s="1"/>
      <c r="J513" s="1"/>
    </row>
    <row r="514" spans="7:10">
      <c r="G514" s="1"/>
      <c r="H514" s="1"/>
      <c r="I514" s="1"/>
      <c r="J514" s="1"/>
    </row>
    <row r="515" spans="7:10">
      <c r="G515" s="1"/>
      <c r="H515" s="1"/>
      <c r="I515" s="1"/>
      <c r="J515" s="1"/>
    </row>
    <row r="516" spans="7:10">
      <c r="G516" s="1"/>
      <c r="H516" s="1"/>
      <c r="I516" s="1"/>
      <c r="J516" s="1"/>
    </row>
    <row r="517" spans="7:10">
      <c r="G517" s="1"/>
      <c r="H517" s="1"/>
      <c r="I517" s="1"/>
      <c r="J517" s="1"/>
    </row>
    <row r="518" spans="7:10">
      <c r="G518" s="1"/>
      <c r="H518" s="1"/>
      <c r="I518" s="1"/>
      <c r="J518" s="1"/>
    </row>
    <row r="519" spans="7:10">
      <c r="G519" s="1"/>
      <c r="H519" s="1"/>
      <c r="I519" s="1"/>
      <c r="J519" s="1"/>
    </row>
    <row r="520" spans="7:10">
      <c r="G520" s="1"/>
      <c r="H520" s="1"/>
      <c r="I520" s="1"/>
      <c r="J520" s="1"/>
    </row>
    <row r="521" spans="7:10">
      <c r="G521" s="1"/>
      <c r="H521" s="1"/>
      <c r="I521" s="1"/>
      <c r="J521" s="1"/>
    </row>
    <row r="522" spans="7:10">
      <c r="G522" s="1"/>
      <c r="H522" s="1"/>
      <c r="I522" s="1"/>
      <c r="J522" s="1"/>
    </row>
    <row r="523" spans="7:10">
      <c r="G523" s="1"/>
      <c r="H523" s="1"/>
      <c r="I523" s="1"/>
      <c r="J523" s="1"/>
    </row>
    <row r="524" spans="7:10">
      <c r="G524" s="1"/>
      <c r="H524" s="1"/>
      <c r="I524" s="1"/>
      <c r="J524" s="1"/>
    </row>
    <row r="525" spans="7:10">
      <c r="G525" s="1"/>
      <c r="H525" s="1"/>
      <c r="I525" s="1"/>
      <c r="J525" s="1"/>
    </row>
    <row r="526" spans="7:10">
      <c r="G526" s="1"/>
      <c r="H526" s="1"/>
      <c r="I526" s="1"/>
      <c r="J526" s="1"/>
    </row>
    <row r="527" spans="7:10">
      <c r="G527" s="1"/>
      <c r="H527" s="1"/>
      <c r="I527" s="1"/>
      <c r="J527" s="1"/>
    </row>
    <row r="528" spans="7:10">
      <c r="G528" s="1"/>
      <c r="H528" s="1"/>
      <c r="I528" s="1"/>
      <c r="J528" s="1"/>
    </row>
    <row r="529" spans="7:10">
      <c r="G529" s="1"/>
      <c r="H529" s="1"/>
      <c r="I529" s="1"/>
      <c r="J529" s="1"/>
    </row>
    <row r="530" spans="7:10">
      <c r="G530" s="1"/>
      <c r="H530" s="1"/>
      <c r="I530" s="1"/>
      <c r="J530" s="1"/>
    </row>
    <row r="531" spans="7:10">
      <c r="G531" s="1"/>
      <c r="H531" s="1"/>
      <c r="I531" s="1"/>
      <c r="J531" s="1"/>
    </row>
    <row r="532" spans="7:10">
      <c r="G532" s="1"/>
      <c r="H532" s="1"/>
      <c r="I532" s="1"/>
      <c r="J532" s="1"/>
    </row>
    <row r="533" spans="7:10">
      <c r="G533" s="1"/>
      <c r="H533" s="1"/>
      <c r="I533" s="1"/>
      <c r="J533" s="1"/>
    </row>
    <row r="534" spans="7:10">
      <c r="G534" s="1"/>
      <c r="H534" s="1"/>
      <c r="I534" s="1"/>
      <c r="J534" s="1"/>
    </row>
    <row r="535" spans="7:10">
      <c r="G535" s="1"/>
      <c r="H535" s="1"/>
      <c r="I535" s="1"/>
      <c r="J535" s="1"/>
    </row>
    <row r="536" spans="7:10">
      <c r="G536" s="1"/>
      <c r="H536" s="1"/>
      <c r="I536" s="1"/>
      <c r="J536" s="1"/>
    </row>
    <row r="537" spans="7:10">
      <c r="G537" s="1"/>
      <c r="H537" s="1"/>
      <c r="I537" s="1"/>
      <c r="J537" s="1"/>
    </row>
    <row r="538" spans="7:10">
      <c r="G538" s="1"/>
      <c r="H538" s="1"/>
      <c r="I538" s="1"/>
      <c r="J538" s="1"/>
    </row>
    <row r="539" spans="7:10">
      <c r="G539" s="1"/>
      <c r="H539" s="1"/>
      <c r="I539" s="1"/>
      <c r="J539" s="1"/>
    </row>
    <row r="540" spans="7:10">
      <c r="G540" s="1"/>
      <c r="H540" s="1"/>
      <c r="I540" s="1"/>
      <c r="J540" s="1"/>
    </row>
    <row r="541" spans="7:10">
      <c r="G541" s="1"/>
      <c r="H541" s="1"/>
      <c r="I541" s="1"/>
      <c r="J541" s="1"/>
    </row>
    <row r="542" spans="7:10">
      <c r="G542" s="1"/>
      <c r="H542" s="1"/>
      <c r="I542" s="1"/>
      <c r="J542" s="1"/>
    </row>
    <row r="543" spans="7:10">
      <c r="G543" s="1"/>
      <c r="H543" s="1"/>
      <c r="I543" s="1"/>
      <c r="J543" s="1"/>
    </row>
    <row r="544" spans="7:10">
      <c r="G544" s="1"/>
      <c r="H544" s="1"/>
      <c r="I544" s="1"/>
      <c r="J544" s="1"/>
    </row>
    <row r="545" spans="7:10">
      <c r="G545" s="1"/>
      <c r="H545" s="1"/>
      <c r="I545" s="1"/>
      <c r="J545" s="1"/>
    </row>
    <row r="546" spans="7:10">
      <c r="G546" s="1"/>
      <c r="H546" s="1"/>
      <c r="I546" s="1"/>
      <c r="J546" s="1"/>
    </row>
    <row r="547" spans="7:10">
      <c r="G547" s="1"/>
      <c r="H547" s="1"/>
      <c r="I547" s="1"/>
      <c r="J547" s="1"/>
    </row>
    <row r="548" spans="7:10">
      <c r="G548" s="1"/>
      <c r="H548" s="1"/>
      <c r="I548" s="1"/>
      <c r="J548" s="1"/>
    </row>
    <row r="549" spans="7:10">
      <c r="G549" s="1"/>
      <c r="H549" s="1"/>
      <c r="I549" s="1"/>
      <c r="J549" s="1"/>
    </row>
    <row r="550" spans="7:10">
      <c r="G550" s="1"/>
      <c r="H550" s="1"/>
      <c r="I550" s="1"/>
      <c r="J550" s="1"/>
    </row>
    <row r="551" spans="7:10">
      <c r="G551" s="1"/>
      <c r="H551" s="1"/>
      <c r="I551" s="1"/>
      <c r="J551" s="1"/>
    </row>
    <row r="552" spans="7:10">
      <c r="G552" s="1"/>
      <c r="H552" s="1"/>
      <c r="I552" s="1"/>
      <c r="J552" s="1"/>
    </row>
    <row r="553" spans="7:10">
      <c r="G553" s="1"/>
      <c r="H553" s="1"/>
      <c r="I553" s="1"/>
      <c r="J553" s="1"/>
    </row>
    <row r="554" spans="7:10">
      <c r="G554" s="1"/>
      <c r="H554" s="1"/>
      <c r="I554" s="1"/>
      <c r="J554" s="1"/>
    </row>
    <row r="555" spans="7:10">
      <c r="G555" s="1"/>
      <c r="H555" s="1"/>
      <c r="I555" s="1"/>
      <c r="J555" s="1"/>
    </row>
    <row r="556" spans="7:10">
      <c r="G556" s="1"/>
      <c r="H556" s="1"/>
      <c r="I556" s="1"/>
      <c r="J556" s="1"/>
    </row>
    <row r="557" spans="7:10">
      <c r="G557" s="1"/>
      <c r="H557" s="1"/>
      <c r="I557" s="1"/>
      <c r="J557" s="1"/>
    </row>
    <row r="558" spans="7:10">
      <c r="G558" s="1"/>
      <c r="H558" s="1"/>
      <c r="I558" s="1"/>
      <c r="J558" s="1"/>
    </row>
    <row r="559" spans="7:10">
      <c r="G559" s="1"/>
      <c r="H559" s="1"/>
      <c r="I559" s="1"/>
      <c r="J559" s="1"/>
    </row>
    <row r="560" spans="7:10">
      <c r="G560" s="1"/>
      <c r="H560" s="1"/>
      <c r="I560" s="1"/>
      <c r="J560" s="1"/>
    </row>
    <row r="561" spans="7:10">
      <c r="G561" s="1"/>
      <c r="H561" s="1"/>
      <c r="I561" s="1"/>
      <c r="J561" s="1"/>
    </row>
    <row r="562" spans="7:10">
      <c r="G562" s="1"/>
      <c r="H562" s="1"/>
      <c r="I562" s="1"/>
      <c r="J562" s="1"/>
    </row>
    <row r="563" spans="7:10">
      <c r="G563" s="1"/>
      <c r="H563" s="1"/>
      <c r="I563" s="1"/>
      <c r="J563" s="1"/>
    </row>
    <row r="564" spans="7:10">
      <c r="G564" s="1"/>
      <c r="H564" s="1"/>
      <c r="I564" s="1"/>
      <c r="J564" s="1"/>
    </row>
    <row r="565" spans="7:10">
      <c r="G565" s="1"/>
      <c r="H565" s="1"/>
      <c r="I565" s="1"/>
      <c r="J565" s="1"/>
    </row>
    <row r="566" spans="7:10">
      <c r="G566" s="1"/>
      <c r="H566" s="1"/>
      <c r="I566" s="1"/>
      <c r="J566" s="1"/>
    </row>
    <row r="567" spans="7:10">
      <c r="G567" s="1"/>
      <c r="H567" s="1"/>
      <c r="I567" s="1"/>
      <c r="J567" s="1"/>
    </row>
    <row r="568" spans="7:10">
      <c r="G568" s="1"/>
      <c r="H568" s="1"/>
      <c r="I568" s="1"/>
      <c r="J568" s="1"/>
    </row>
    <row r="569" spans="7:10">
      <c r="G569" s="1"/>
      <c r="H569" s="1"/>
      <c r="I569" s="1"/>
      <c r="J569" s="1"/>
    </row>
    <row r="570" spans="7:10">
      <c r="G570" s="1"/>
      <c r="H570" s="1"/>
      <c r="I570" s="1"/>
      <c r="J570" s="1"/>
    </row>
    <row r="571" spans="7:10">
      <c r="G571" s="1"/>
      <c r="H571" s="1"/>
      <c r="I571" s="1"/>
      <c r="J571" s="1"/>
    </row>
    <row r="572" spans="7:10">
      <c r="G572" s="1"/>
      <c r="H572" s="1"/>
      <c r="I572" s="1"/>
      <c r="J572" s="1"/>
    </row>
    <row r="573" spans="7:10">
      <c r="G573" s="1"/>
      <c r="H573" s="1"/>
      <c r="I573" s="1"/>
      <c r="J573" s="1"/>
    </row>
    <row r="574" spans="7:10">
      <c r="G574" s="1"/>
      <c r="H574" s="1"/>
      <c r="I574" s="1"/>
      <c r="J574" s="1"/>
    </row>
    <row r="575" spans="7:10">
      <c r="G575" s="1"/>
      <c r="H575" s="1"/>
      <c r="I575" s="1"/>
      <c r="J575" s="1"/>
    </row>
    <row r="576" spans="7:10">
      <c r="G576" s="1"/>
      <c r="H576" s="1"/>
      <c r="I576" s="1"/>
      <c r="J576" s="1"/>
    </row>
    <row r="577" spans="7:10">
      <c r="G577" s="1"/>
      <c r="H577" s="1"/>
      <c r="I577" s="1"/>
      <c r="J577" s="1"/>
    </row>
    <row r="578" spans="7:10">
      <c r="G578" s="1"/>
      <c r="H578" s="1"/>
      <c r="I578" s="1"/>
      <c r="J578" s="1"/>
    </row>
    <row r="579" spans="7:10">
      <c r="G579" s="1"/>
      <c r="H579" s="1"/>
      <c r="I579" s="1"/>
      <c r="J579" s="1"/>
    </row>
    <row r="580" spans="7:10">
      <c r="G580" s="1"/>
      <c r="H580" s="1"/>
      <c r="I580" s="1"/>
      <c r="J580" s="1"/>
    </row>
    <row r="581" spans="7:10">
      <c r="G581" s="1"/>
      <c r="H581" s="1"/>
      <c r="I581" s="1"/>
      <c r="J581" s="1"/>
    </row>
    <row r="582" spans="7:10">
      <c r="G582" s="1"/>
      <c r="H582" s="1"/>
      <c r="I582" s="1"/>
      <c r="J582" s="1"/>
    </row>
    <row r="583" spans="7:10">
      <c r="G583" s="1"/>
      <c r="H583" s="1"/>
      <c r="I583" s="1"/>
      <c r="J583" s="1"/>
    </row>
    <row r="584" spans="7:10">
      <c r="G584" s="1"/>
      <c r="H584" s="1"/>
      <c r="I584" s="1"/>
      <c r="J584" s="1"/>
    </row>
    <row r="585" spans="7:10">
      <c r="G585" s="1"/>
      <c r="H585" s="1"/>
      <c r="I585" s="1"/>
      <c r="J585" s="1"/>
    </row>
    <row r="586" spans="7:10">
      <c r="G586" s="1"/>
      <c r="H586" s="1"/>
      <c r="I586" s="1"/>
      <c r="J586" s="1"/>
    </row>
    <row r="587" spans="7:10">
      <c r="G587" s="1"/>
      <c r="H587" s="1"/>
      <c r="I587" s="1"/>
      <c r="J587" s="1"/>
    </row>
    <row r="588" spans="7:10">
      <c r="G588" s="1"/>
      <c r="H588" s="1"/>
      <c r="I588" s="1"/>
      <c r="J588" s="1"/>
    </row>
    <row r="589" spans="7:10">
      <c r="G589" s="1"/>
      <c r="H589" s="1"/>
      <c r="I589" s="1"/>
      <c r="J589" s="1"/>
    </row>
    <row r="590" spans="7:10">
      <c r="G590" s="1"/>
      <c r="H590" s="1"/>
      <c r="I590" s="1"/>
      <c r="J590" s="1"/>
    </row>
    <row r="591" spans="7:10">
      <c r="G591" s="1"/>
      <c r="H591" s="1"/>
      <c r="I591" s="1"/>
      <c r="J591" s="1"/>
    </row>
    <row r="592" spans="7:10">
      <c r="G592" s="1"/>
      <c r="H592" s="1"/>
      <c r="I592" s="1"/>
      <c r="J592" s="1"/>
    </row>
    <row r="593" spans="7:10">
      <c r="G593" s="1"/>
      <c r="H593" s="1"/>
      <c r="I593" s="1"/>
      <c r="J593" s="1"/>
    </row>
    <row r="594" spans="7:10">
      <c r="G594" s="1"/>
      <c r="H594" s="1"/>
      <c r="I594" s="1"/>
      <c r="J594" s="1"/>
    </row>
    <row r="595" spans="7:10">
      <c r="G595" s="1"/>
      <c r="H595" s="1"/>
      <c r="I595" s="1"/>
      <c r="J595" s="1"/>
    </row>
    <row r="596" spans="7:10">
      <c r="G596" s="1"/>
      <c r="H596" s="1"/>
      <c r="I596" s="1"/>
      <c r="J596" s="1"/>
    </row>
    <row r="597" spans="7:10">
      <c r="G597" s="1"/>
      <c r="H597" s="1"/>
      <c r="I597" s="1"/>
      <c r="J597" s="1"/>
    </row>
    <row r="598" spans="7:10">
      <c r="G598" s="1"/>
      <c r="H598" s="1"/>
      <c r="I598" s="1"/>
      <c r="J598" s="1"/>
    </row>
    <row r="599" spans="7:10">
      <c r="G599" s="1"/>
      <c r="H599" s="1"/>
      <c r="I599" s="1"/>
      <c r="J599" s="1"/>
    </row>
    <row r="600" spans="7:10">
      <c r="G600" s="1"/>
      <c r="H600" s="1"/>
      <c r="I600" s="1"/>
      <c r="J600" s="1"/>
    </row>
    <row r="601" spans="7:10">
      <c r="G601" s="1"/>
      <c r="H601" s="1"/>
      <c r="I601" s="1"/>
      <c r="J601" s="1"/>
    </row>
    <row r="602" spans="7:10">
      <c r="G602" s="1"/>
      <c r="H602" s="1"/>
      <c r="I602" s="1"/>
      <c r="J602" s="1"/>
    </row>
    <row r="603" spans="7:10">
      <c r="G603" s="1"/>
      <c r="H603" s="1"/>
      <c r="I603" s="1"/>
      <c r="J603" s="1"/>
    </row>
    <row r="604" spans="7:10">
      <c r="G604" s="1"/>
      <c r="H604" s="1"/>
      <c r="I604" s="1"/>
      <c r="J604" s="1"/>
    </row>
    <row r="605" spans="7:10">
      <c r="G605" s="1"/>
      <c r="H605" s="1"/>
      <c r="I605" s="1"/>
      <c r="J605" s="1"/>
    </row>
    <row r="606" spans="7:10">
      <c r="G606" s="1"/>
      <c r="H606" s="1"/>
      <c r="I606" s="1"/>
      <c r="J606" s="1"/>
    </row>
    <row r="607" spans="7:10">
      <c r="G607" s="1"/>
      <c r="H607" s="1"/>
      <c r="I607" s="1"/>
      <c r="J607" s="1"/>
    </row>
    <row r="608" spans="7:10">
      <c r="G608" s="1"/>
      <c r="H608" s="1"/>
      <c r="I608" s="1"/>
      <c r="J608" s="1"/>
    </row>
    <row r="609" spans="7:10">
      <c r="G609" s="1"/>
      <c r="H609" s="1"/>
      <c r="I609" s="1"/>
      <c r="J609" s="1"/>
    </row>
    <row r="610" spans="7:10">
      <c r="G610" s="1"/>
      <c r="H610" s="1"/>
      <c r="I610" s="1"/>
      <c r="J610" s="1"/>
    </row>
    <row r="611" spans="7:10">
      <c r="G611" s="1"/>
      <c r="H611" s="1"/>
      <c r="I611" s="1"/>
      <c r="J611" s="1"/>
    </row>
    <row r="612" spans="7:10">
      <c r="G612" s="1"/>
      <c r="H612" s="1"/>
      <c r="I612" s="1"/>
      <c r="J612" s="1"/>
    </row>
    <row r="613" spans="7:10">
      <c r="G613" s="1"/>
      <c r="H613" s="1"/>
      <c r="I613" s="1"/>
      <c r="J613" s="1"/>
    </row>
    <row r="614" spans="7:10">
      <c r="G614" s="1"/>
      <c r="H614" s="1"/>
      <c r="I614" s="1"/>
      <c r="J614" s="1"/>
    </row>
    <row r="615" spans="7:10">
      <c r="G615" s="1"/>
      <c r="H615" s="1"/>
      <c r="I615" s="1"/>
      <c r="J615" s="1"/>
    </row>
    <row r="616" spans="7:10">
      <c r="G616" s="1"/>
      <c r="H616" s="1"/>
      <c r="I616" s="1"/>
      <c r="J616" s="1"/>
    </row>
    <row r="617" spans="7:10">
      <c r="G617" s="1"/>
      <c r="H617" s="1"/>
      <c r="I617" s="1"/>
      <c r="J617" s="1"/>
    </row>
    <row r="618" spans="7:10">
      <c r="G618" s="1"/>
      <c r="H618" s="1"/>
      <c r="I618" s="1"/>
      <c r="J618" s="1"/>
    </row>
    <row r="619" spans="7:10">
      <c r="G619" s="1"/>
      <c r="H619" s="1"/>
      <c r="I619" s="1"/>
      <c r="J619" s="1"/>
    </row>
    <row r="620" spans="7:10">
      <c r="G620" s="1"/>
      <c r="H620" s="1"/>
      <c r="I620" s="1"/>
      <c r="J620" s="1"/>
    </row>
    <row r="621" spans="7:10">
      <c r="G621" s="1"/>
      <c r="H621" s="1"/>
      <c r="I621" s="1"/>
      <c r="J621" s="1"/>
    </row>
    <row r="622" spans="7:10">
      <c r="G622" s="1"/>
      <c r="H622" s="1"/>
      <c r="I622" s="1"/>
      <c r="J622" s="1"/>
    </row>
    <row r="623" spans="7:10">
      <c r="G623" s="1"/>
      <c r="H623" s="1"/>
      <c r="I623" s="1"/>
      <c r="J623" s="1"/>
    </row>
    <row r="624" spans="7:10">
      <c r="G624" s="1"/>
      <c r="H624" s="1"/>
      <c r="I624" s="1"/>
      <c r="J624" s="1"/>
    </row>
    <row r="625" spans="7:10">
      <c r="G625" s="1"/>
      <c r="H625" s="1"/>
      <c r="I625" s="1"/>
      <c r="J625" s="1"/>
    </row>
    <row r="626" spans="7:10">
      <c r="G626" s="1"/>
      <c r="H626" s="1"/>
      <c r="I626" s="1"/>
      <c r="J626" s="1"/>
    </row>
    <row r="627" spans="7:10">
      <c r="G627" s="1"/>
      <c r="H627" s="1"/>
      <c r="I627" s="1"/>
      <c r="J627" s="1"/>
    </row>
    <row r="628" spans="7:10">
      <c r="G628" s="1"/>
      <c r="H628" s="1"/>
      <c r="I628" s="1"/>
      <c r="J628" s="1"/>
    </row>
    <row r="629" spans="7:10">
      <c r="G629" s="1"/>
      <c r="H629" s="1"/>
      <c r="I629" s="1"/>
      <c r="J629" s="1"/>
    </row>
    <row r="630" spans="7:10">
      <c r="G630" s="1"/>
      <c r="H630" s="1"/>
      <c r="I630" s="1"/>
      <c r="J630" s="1"/>
    </row>
    <row r="631" spans="7:10">
      <c r="G631" s="1"/>
      <c r="H631" s="1"/>
      <c r="I631" s="1"/>
      <c r="J631" s="1"/>
    </row>
    <row r="632" spans="7:10">
      <c r="G632" s="1"/>
      <c r="H632" s="1"/>
      <c r="I632" s="1"/>
      <c r="J632" s="1"/>
    </row>
    <row r="633" spans="7:10">
      <c r="G633" s="1"/>
      <c r="H633" s="1"/>
      <c r="I633" s="1"/>
      <c r="J633" s="1"/>
    </row>
    <row r="634" spans="7:10">
      <c r="G634" s="1"/>
      <c r="H634" s="1"/>
      <c r="I634" s="1"/>
      <c r="J634" s="1"/>
    </row>
    <row r="635" spans="7:10">
      <c r="G635" s="1"/>
      <c r="H635" s="1"/>
      <c r="I635" s="1"/>
      <c r="J635" s="1"/>
    </row>
    <row r="636" spans="7:10">
      <c r="G636" s="1"/>
      <c r="H636" s="1"/>
      <c r="I636" s="1"/>
      <c r="J636" s="1"/>
    </row>
    <row r="637" spans="7:10">
      <c r="G637" s="1"/>
      <c r="H637" s="1"/>
      <c r="I637" s="1"/>
      <c r="J637" s="1"/>
    </row>
    <row r="638" spans="7:10">
      <c r="G638" s="1"/>
      <c r="H638" s="1"/>
      <c r="I638" s="1"/>
      <c r="J638" s="1"/>
    </row>
    <row r="639" spans="7:10">
      <c r="G639" s="1"/>
      <c r="H639" s="1"/>
      <c r="I639" s="1"/>
      <c r="J639" s="1"/>
    </row>
    <row r="640" spans="7:10">
      <c r="G640" s="1"/>
      <c r="H640" s="1"/>
      <c r="I640" s="1"/>
      <c r="J640" s="1"/>
    </row>
    <row r="641" spans="7:10">
      <c r="G641" s="1"/>
      <c r="H641" s="1"/>
      <c r="I641" s="1"/>
      <c r="J641" s="1"/>
    </row>
    <row r="642" spans="7:10">
      <c r="G642" s="1"/>
      <c r="H642" s="1"/>
      <c r="I642" s="1"/>
      <c r="J642" s="1"/>
    </row>
    <row r="643" spans="7:10">
      <c r="G643" s="1"/>
      <c r="H643" s="1"/>
      <c r="I643" s="1"/>
      <c r="J643" s="1"/>
    </row>
    <row r="644" spans="7:10">
      <c r="G644" s="1"/>
      <c r="H644" s="1"/>
      <c r="I644" s="1"/>
      <c r="J644" s="1"/>
    </row>
    <row r="645" spans="7:10">
      <c r="G645" s="1"/>
      <c r="H645" s="1"/>
      <c r="I645" s="1"/>
      <c r="J645" s="1"/>
    </row>
    <row r="646" spans="7:10">
      <c r="G646" s="1"/>
      <c r="H646" s="1"/>
      <c r="I646" s="1"/>
      <c r="J646" s="1"/>
    </row>
    <row r="647" spans="7:10">
      <c r="G647" s="1"/>
      <c r="H647" s="1"/>
      <c r="I647" s="1"/>
      <c r="J647" s="1"/>
    </row>
    <row r="648" spans="7:10">
      <c r="G648" s="1"/>
      <c r="H648" s="1"/>
      <c r="I648" s="1"/>
      <c r="J648" s="1"/>
    </row>
    <row r="649" spans="7:10">
      <c r="G649" s="1"/>
      <c r="H649" s="1"/>
      <c r="I649" s="1"/>
      <c r="J649" s="1"/>
    </row>
    <row r="650" spans="7:10">
      <c r="G650" s="1"/>
      <c r="H650" s="1"/>
      <c r="I650" s="1"/>
      <c r="J650" s="1"/>
    </row>
    <row r="651" spans="7:10">
      <c r="G651" s="1"/>
      <c r="H651" s="1"/>
      <c r="I651" s="1"/>
      <c r="J651" s="1"/>
    </row>
    <row r="652" spans="7:10">
      <c r="G652" s="1"/>
      <c r="H652" s="1"/>
      <c r="I652" s="1"/>
      <c r="J652" s="1"/>
    </row>
    <row r="653" spans="7:10">
      <c r="G653" s="1"/>
      <c r="H653" s="1"/>
      <c r="I653" s="1"/>
      <c r="J653" s="1"/>
    </row>
    <row r="654" spans="7:10">
      <c r="G654" s="1"/>
      <c r="H654" s="1"/>
      <c r="I654" s="1"/>
      <c r="J654" s="1"/>
    </row>
    <row r="655" spans="7:10">
      <c r="G655" s="1"/>
      <c r="H655" s="1"/>
      <c r="I655" s="1"/>
      <c r="J655" s="1"/>
    </row>
    <row r="656" spans="7:10">
      <c r="G656" s="1"/>
      <c r="H656" s="1"/>
      <c r="I656" s="1"/>
      <c r="J656" s="1"/>
    </row>
    <row r="657" spans="7:10">
      <c r="G657" s="1"/>
      <c r="H657" s="1"/>
      <c r="I657" s="1"/>
      <c r="J657" s="1"/>
    </row>
    <row r="658" spans="7:10">
      <c r="G658" s="1"/>
      <c r="H658" s="1"/>
      <c r="I658" s="1"/>
      <c r="J658" s="1"/>
    </row>
    <row r="659" spans="7:10">
      <c r="G659" s="1"/>
      <c r="H659" s="1"/>
      <c r="I659" s="1"/>
      <c r="J659" s="1"/>
    </row>
    <row r="660" spans="7:10">
      <c r="G660" s="1"/>
      <c r="H660" s="1"/>
      <c r="I660" s="1"/>
      <c r="J660" s="1"/>
    </row>
    <row r="661" spans="7:10">
      <c r="G661" s="1"/>
      <c r="H661" s="1"/>
      <c r="I661" s="1"/>
      <c r="J661" s="1"/>
    </row>
    <row r="662" spans="7:10">
      <c r="G662" s="1"/>
      <c r="H662" s="1"/>
      <c r="I662" s="1"/>
      <c r="J662" s="1"/>
    </row>
    <row r="663" spans="7:10">
      <c r="G663" s="1"/>
      <c r="H663" s="1"/>
      <c r="I663" s="1"/>
      <c r="J663" s="1"/>
    </row>
    <row r="664" spans="7:10">
      <c r="G664" s="1"/>
      <c r="H664" s="1"/>
      <c r="I664" s="1"/>
      <c r="J664" s="1"/>
    </row>
    <row r="665" spans="7:10">
      <c r="G665" s="1"/>
      <c r="H665" s="1"/>
      <c r="I665" s="1"/>
      <c r="J665" s="1"/>
    </row>
    <row r="666" spans="7:10">
      <c r="G666" s="1"/>
      <c r="H666" s="1"/>
      <c r="I666" s="1"/>
      <c r="J666" s="1"/>
    </row>
    <row r="667" spans="7:10">
      <c r="G667" s="1"/>
      <c r="H667" s="1"/>
      <c r="I667" s="1"/>
      <c r="J667" s="1"/>
    </row>
    <row r="668" spans="7:10">
      <c r="G668" s="1"/>
      <c r="H668" s="1"/>
      <c r="I668" s="1"/>
      <c r="J668" s="1"/>
    </row>
    <row r="669" spans="7:10">
      <c r="G669" s="1"/>
      <c r="H669" s="1"/>
      <c r="I669" s="1"/>
      <c r="J669" s="1"/>
    </row>
    <row r="670" spans="7:10">
      <c r="G670" s="1"/>
      <c r="H670" s="1"/>
      <c r="I670" s="1"/>
      <c r="J670" s="1"/>
    </row>
    <row r="671" spans="7:10">
      <c r="G671" s="1"/>
      <c r="H671" s="1"/>
      <c r="I671" s="1"/>
      <c r="J671" s="1"/>
    </row>
    <row r="672" spans="7:10">
      <c r="G672" s="1"/>
      <c r="H672" s="1"/>
      <c r="I672" s="1"/>
      <c r="J672" s="1"/>
    </row>
    <row r="673" spans="7:10">
      <c r="G673" s="1"/>
      <c r="H673" s="1"/>
      <c r="I673" s="1"/>
      <c r="J673" s="1"/>
    </row>
    <row r="674" spans="7:10">
      <c r="G674" s="1"/>
      <c r="H674" s="1"/>
      <c r="I674" s="1"/>
      <c r="J674" s="1"/>
    </row>
    <row r="675" spans="7:10">
      <c r="G675" s="1"/>
      <c r="H675" s="1"/>
      <c r="I675" s="1"/>
      <c r="J675" s="1"/>
    </row>
    <row r="676" spans="7:10">
      <c r="G676" s="1"/>
      <c r="H676" s="1"/>
      <c r="I676" s="1"/>
      <c r="J676" s="1"/>
    </row>
    <row r="677" spans="7:10">
      <c r="G677" s="1"/>
      <c r="H677" s="1"/>
      <c r="I677" s="1"/>
      <c r="J677" s="1"/>
    </row>
    <row r="678" spans="7:10">
      <c r="G678" s="1"/>
      <c r="H678" s="1"/>
      <c r="I678" s="1"/>
      <c r="J678" s="1"/>
    </row>
    <row r="679" spans="7:10">
      <c r="G679" s="1"/>
      <c r="H679" s="1"/>
      <c r="I679" s="1"/>
      <c r="J679" s="1"/>
    </row>
    <row r="680" spans="7:10">
      <c r="G680" s="1"/>
      <c r="H680" s="1"/>
      <c r="I680" s="1"/>
      <c r="J680" s="1"/>
    </row>
    <row r="681" spans="7:10">
      <c r="G681" s="1"/>
      <c r="H681" s="1"/>
      <c r="I681" s="1"/>
      <c r="J681" s="1"/>
    </row>
    <row r="682" spans="7:10">
      <c r="G682" s="1"/>
      <c r="H682" s="1"/>
      <c r="I682" s="1"/>
      <c r="J682" s="1"/>
    </row>
    <row r="683" spans="7:10">
      <c r="G683" s="1"/>
      <c r="H683" s="1"/>
      <c r="I683" s="1"/>
      <c r="J683" s="1"/>
    </row>
    <row r="684" spans="7:10">
      <c r="G684" s="1"/>
      <c r="H684" s="1"/>
      <c r="I684" s="1"/>
      <c r="J684" s="1"/>
    </row>
    <row r="685" spans="7:10">
      <c r="G685" s="1"/>
      <c r="H685" s="1"/>
      <c r="I685" s="1"/>
      <c r="J685" s="1"/>
    </row>
    <row r="686" spans="7:10">
      <c r="G686" s="1"/>
      <c r="H686" s="1"/>
      <c r="I686" s="1"/>
      <c r="J686" s="1"/>
    </row>
    <row r="687" spans="7:10">
      <c r="G687" s="1"/>
      <c r="H687" s="1"/>
      <c r="I687" s="1"/>
      <c r="J687" s="1"/>
    </row>
    <row r="688" spans="7:10">
      <c r="G688" s="1"/>
      <c r="H688" s="1"/>
      <c r="I688" s="1"/>
      <c r="J688" s="1"/>
    </row>
    <row r="689" spans="7:10">
      <c r="G689" s="1"/>
      <c r="H689" s="1"/>
      <c r="I689" s="1"/>
      <c r="J689" s="1"/>
    </row>
    <row r="690" spans="7:10">
      <c r="G690" s="1"/>
      <c r="H690" s="1"/>
      <c r="I690" s="1"/>
      <c r="J690" s="1"/>
    </row>
    <row r="691" spans="7:10">
      <c r="G691" s="1"/>
      <c r="H691" s="1"/>
      <c r="I691" s="1"/>
      <c r="J691" s="1"/>
    </row>
    <row r="692" spans="7:10">
      <c r="G692" s="1"/>
      <c r="H692" s="1"/>
      <c r="I692" s="1"/>
      <c r="J692" s="1"/>
    </row>
    <row r="693" spans="7:10">
      <c r="G693" s="1"/>
      <c r="H693" s="1"/>
      <c r="I693" s="1"/>
      <c r="J693" s="1"/>
    </row>
    <row r="694" spans="7:10">
      <c r="G694" s="1"/>
      <c r="H694" s="1"/>
      <c r="I694" s="1"/>
      <c r="J694" s="1"/>
    </row>
    <row r="695" spans="7:10">
      <c r="G695" s="1"/>
      <c r="H695" s="1"/>
      <c r="I695" s="1"/>
      <c r="J695" s="1"/>
    </row>
    <row r="696" spans="7:10">
      <c r="G696" s="1"/>
      <c r="H696" s="1"/>
      <c r="I696" s="1"/>
      <c r="J696" s="1"/>
    </row>
    <row r="697" spans="7:10">
      <c r="G697" s="1"/>
      <c r="H697" s="1"/>
      <c r="I697" s="1"/>
      <c r="J697" s="1"/>
    </row>
    <row r="698" spans="7:10">
      <c r="G698" s="1"/>
      <c r="H698" s="1"/>
      <c r="I698" s="1"/>
      <c r="J698" s="1"/>
    </row>
    <row r="699" spans="7:10">
      <c r="G699" s="1"/>
      <c r="H699" s="1"/>
      <c r="I699" s="1"/>
      <c r="J699" s="1"/>
    </row>
    <row r="700" spans="7:10">
      <c r="G700" s="1"/>
      <c r="H700" s="1"/>
      <c r="I700" s="1"/>
      <c r="J700" s="1"/>
    </row>
    <row r="701" spans="7:10">
      <c r="G701" s="1"/>
      <c r="H701" s="1"/>
      <c r="I701" s="1"/>
      <c r="J701" s="1"/>
    </row>
    <row r="702" spans="7:10">
      <c r="G702" s="1"/>
      <c r="H702" s="1"/>
      <c r="I702" s="1"/>
      <c r="J702" s="1"/>
    </row>
    <row r="703" spans="7:10">
      <c r="G703" s="1"/>
      <c r="H703" s="1"/>
      <c r="I703" s="1"/>
      <c r="J703" s="1"/>
    </row>
    <row r="704" spans="7:10">
      <c r="G704" s="1"/>
      <c r="H704" s="1"/>
      <c r="I704" s="1"/>
      <c r="J704" s="1"/>
    </row>
    <row r="705" spans="7:10">
      <c r="G705" s="1"/>
      <c r="H705" s="1"/>
      <c r="I705" s="1"/>
      <c r="J705" s="1"/>
    </row>
    <row r="706" spans="7:10">
      <c r="G706" s="1"/>
      <c r="H706" s="1"/>
      <c r="I706" s="1"/>
      <c r="J706" s="1"/>
    </row>
    <row r="707" spans="7:10">
      <c r="G707" s="1"/>
      <c r="H707" s="1"/>
      <c r="I707" s="1"/>
      <c r="J707" s="1"/>
    </row>
    <row r="708" spans="7:10">
      <c r="G708" s="1"/>
      <c r="H708" s="1"/>
      <c r="I708" s="1"/>
      <c r="J708" s="1"/>
    </row>
    <row r="709" spans="7:10">
      <c r="G709" s="1"/>
      <c r="H709" s="1"/>
      <c r="I709" s="1"/>
      <c r="J709" s="1"/>
    </row>
    <row r="710" spans="7:10">
      <c r="G710" s="1"/>
      <c r="H710" s="1"/>
      <c r="I710" s="1"/>
      <c r="J710" s="1"/>
    </row>
    <row r="711" spans="7:10">
      <c r="G711" s="1"/>
      <c r="H711" s="1"/>
      <c r="I711" s="1"/>
      <c r="J711" s="1"/>
    </row>
    <row r="712" spans="7:10">
      <c r="G712" s="1"/>
      <c r="H712" s="1"/>
      <c r="I712" s="1"/>
      <c r="J712" s="1"/>
    </row>
    <row r="713" spans="7:10">
      <c r="G713" s="1"/>
      <c r="H713" s="1"/>
      <c r="I713" s="1"/>
      <c r="J713" s="1"/>
    </row>
    <row r="714" spans="7:10">
      <c r="G714" s="1"/>
      <c r="H714" s="1"/>
      <c r="I714" s="1"/>
      <c r="J714" s="1"/>
    </row>
    <row r="715" spans="7:10">
      <c r="G715" s="1"/>
      <c r="H715" s="1"/>
      <c r="I715" s="1"/>
      <c r="J715" s="1"/>
    </row>
    <row r="716" spans="7:10">
      <c r="G716" s="1"/>
      <c r="H716" s="1"/>
      <c r="I716" s="1"/>
      <c r="J716" s="1"/>
    </row>
    <row r="717" spans="7:10">
      <c r="G717" s="1"/>
      <c r="H717" s="1"/>
      <c r="I717" s="1"/>
      <c r="J717" s="1"/>
    </row>
    <row r="718" spans="7:10">
      <c r="G718" s="1"/>
      <c r="H718" s="1"/>
      <c r="I718" s="1"/>
      <c r="J718" s="1"/>
    </row>
    <row r="719" spans="7:10">
      <c r="G719" s="1"/>
      <c r="H719" s="1"/>
      <c r="I719" s="1"/>
      <c r="J719" s="1"/>
    </row>
    <row r="720" spans="7:10">
      <c r="G720" s="1"/>
      <c r="H720" s="1"/>
      <c r="I720" s="1"/>
      <c r="J720" s="1"/>
    </row>
    <row r="721" spans="7:10">
      <c r="G721" s="1"/>
      <c r="H721" s="1"/>
      <c r="I721" s="1"/>
      <c r="J721" s="1"/>
    </row>
    <row r="722" spans="7:10">
      <c r="G722" s="1"/>
      <c r="H722" s="1"/>
      <c r="I722" s="1"/>
      <c r="J722" s="1"/>
    </row>
    <row r="723" spans="7:10">
      <c r="G723" s="1"/>
      <c r="H723" s="1"/>
      <c r="I723" s="1"/>
      <c r="J723" s="1"/>
    </row>
    <row r="724" spans="7:10">
      <c r="G724" s="1"/>
      <c r="H724" s="1"/>
      <c r="I724" s="1"/>
      <c r="J724" s="1"/>
    </row>
    <row r="725" spans="7:10">
      <c r="G725" s="1"/>
      <c r="H725" s="1"/>
      <c r="I725" s="1"/>
      <c r="J725" s="1"/>
    </row>
    <row r="726" spans="7:10">
      <c r="G726" s="1"/>
      <c r="H726" s="1"/>
      <c r="I726" s="1"/>
      <c r="J726" s="1"/>
    </row>
    <row r="727" spans="7:10">
      <c r="G727" s="1"/>
      <c r="H727" s="1"/>
      <c r="I727" s="1"/>
      <c r="J727" s="1"/>
    </row>
    <row r="728" spans="7:10">
      <c r="G728" s="1"/>
      <c r="H728" s="1"/>
      <c r="I728" s="1"/>
      <c r="J728" s="1"/>
    </row>
    <row r="729" spans="7:10">
      <c r="G729" s="1"/>
      <c r="H729" s="1"/>
      <c r="I729" s="1"/>
      <c r="J729" s="1"/>
    </row>
    <row r="730" spans="7:10">
      <c r="G730" s="1"/>
      <c r="H730" s="1"/>
      <c r="I730" s="1"/>
      <c r="J730" s="1"/>
    </row>
    <row r="731" spans="7:10">
      <c r="G731" s="1"/>
      <c r="H731" s="1"/>
      <c r="I731" s="1"/>
      <c r="J731" s="1"/>
    </row>
    <row r="732" spans="7:10">
      <c r="G732" s="1"/>
      <c r="H732" s="1"/>
      <c r="I732" s="1"/>
      <c r="J732" s="1"/>
    </row>
    <row r="733" spans="7:10">
      <c r="G733" s="1"/>
      <c r="H733" s="1"/>
      <c r="I733" s="1"/>
      <c r="J733" s="1"/>
    </row>
    <row r="734" spans="7:10">
      <c r="G734" s="1"/>
      <c r="H734" s="1"/>
      <c r="I734" s="1"/>
      <c r="J734" s="1"/>
    </row>
    <row r="735" spans="7:10">
      <c r="G735" s="1"/>
      <c r="H735" s="1"/>
      <c r="I735" s="1"/>
      <c r="J735" s="1"/>
    </row>
    <row r="736" spans="7:10">
      <c r="G736" s="1"/>
      <c r="H736" s="1"/>
      <c r="I736" s="1"/>
      <c r="J736" s="1"/>
    </row>
    <row r="737" spans="7:10">
      <c r="G737" s="1"/>
      <c r="H737" s="1"/>
      <c r="I737" s="1"/>
      <c r="J737" s="1"/>
    </row>
    <row r="738" spans="7:10">
      <c r="G738" s="1"/>
      <c r="H738" s="1"/>
      <c r="I738" s="1"/>
      <c r="J738" s="1"/>
    </row>
    <row r="739" spans="7:10">
      <c r="G739" s="1"/>
      <c r="H739" s="1"/>
      <c r="I739" s="1"/>
      <c r="J739" s="1"/>
    </row>
    <row r="740" spans="7:10">
      <c r="G740" s="1"/>
      <c r="H740" s="1"/>
      <c r="I740" s="1"/>
      <c r="J740" s="1"/>
    </row>
    <row r="741" spans="7:10">
      <c r="G741" s="1"/>
      <c r="H741" s="1"/>
      <c r="I741" s="1"/>
      <c r="J741" s="1"/>
    </row>
    <row r="742" spans="7:10">
      <c r="G742" s="1"/>
      <c r="H742" s="1"/>
      <c r="I742" s="1"/>
      <c r="J742" s="1"/>
    </row>
    <row r="743" spans="7:10">
      <c r="G743" s="1"/>
      <c r="H743" s="1"/>
      <c r="I743" s="1"/>
      <c r="J743" s="1"/>
    </row>
    <row r="744" spans="7:10">
      <c r="G744" s="1"/>
      <c r="H744" s="1"/>
      <c r="I744" s="1"/>
      <c r="J744" s="1"/>
    </row>
    <row r="745" spans="7:10">
      <c r="G745" s="1"/>
      <c r="H745" s="1"/>
      <c r="I745" s="1"/>
      <c r="J745" s="1"/>
    </row>
    <row r="746" spans="7:10">
      <c r="G746" s="1"/>
      <c r="H746" s="1"/>
      <c r="I746" s="1"/>
      <c r="J746" s="1"/>
    </row>
    <row r="747" spans="7:10">
      <c r="G747" s="1"/>
      <c r="H747" s="1"/>
      <c r="I747" s="1"/>
      <c r="J747" s="1"/>
    </row>
    <row r="748" spans="7:10">
      <c r="G748" s="1"/>
      <c r="H748" s="1"/>
      <c r="I748" s="1"/>
      <c r="J748" s="1"/>
    </row>
    <row r="749" spans="7:10">
      <c r="G749" s="1"/>
      <c r="H749" s="1"/>
      <c r="I749" s="1"/>
      <c r="J749" s="1"/>
    </row>
    <row r="750" spans="7:10">
      <c r="G750" s="1"/>
      <c r="H750" s="1"/>
      <c r="I750" s="1"/>
      <c r="J750" s="1"/>
    </row>
    <row r="751" spans="7:10">
      <c r="G751" s="1"/>
      <c r="H751" s="1"/>
      <c r="I751" s="1"/>
      <c r="J751" s="1"/>
    </row>
    <row r="752" spans="7:10">
      <c r="G752" s="1"/>
      <c r="H752" s="1"/>
      <c r="I752" s="1"/>
      <c r="J752" s="1"/>
    </row>
    <row r="753" spans="7:10">
      <c r="G753" s="1"/>
      <c r="H753" s="1"/>
      <c r="I753" s="1"/>
      <c r="J753" s="1"/>
    </row>
    <row r="754" spans="7:10">
      <c r="G754" s="1"/>
      <c r="H754" s="1"/>
      <c r="I754" s="1"/>
      <c r="J754" s="1"/>
    </row>
    <row r="755" spans="7:10">
      <c r="G755" s="1"/>
      <c r="H755" s="1"/>
      <c r="I755" s="1"/>
      <c r="J755" s="1"/>
    </row>
    <row r="756" spans="7:10">
      <c r="G756" s="1"/>
      <c r="H756" s="1"/>
      <c r="I756" s="1"/>
      <c r="J756" s="1"/>
    </row>
    <row r="757" spans="7:10">
      <c r="G757" s="1"/>
      <c r="H757" s="1"/>
      <c r="I757" s="1"/>
      <c r="J757" s="1"/>
    </row>
    <row r="758" spans="7:10">
      <c r="G758" s="1"/>
      <c r="H758" s="1"/>
      <c r="I758" s="1"/>
      <c r="J758" s="1"/>
    </row>
    <row r="759" spans="7:10">
      <c r="G759" s="1"/>
      <c r="H759" s="1"/>
      <c r="I759" s="1"/>
      <c r="J759" s="1"/>
    </row>
    <row r="760" spans="7:10">
      <c r="G760" s="1"/>
      <c r="H760" s="1"/>
      <c r="I760" s="1"/>
      <c r="J760" s="1"/>
    </row>
    <row r="761" spans="7:10">
      <c r="G761" s="1"/>
      <c r="H761" s="1"/>
      <c r="I761" s="1"/>
      <c r="J761" s="1"/>
    </row>
    <row r="762" spans="7:10">
      <c r="G762" s="1"/>
      <c r="H762" s="1"/>
      <c r="I762" s="1"/>
      <c r="J762" s="1"/>
    </row>
    <row r="763" spans="7:10">
      <c r="G763" s="1"/>
      <c r="H763" s="1"/>
      <c r="I763" s="1"/>
      <c r="J763" s="1"/>
    </row>
    <row r="764" spans="7:10">
      <c r="G764" s="1"/>
      <c r="H764" s="1"/>
      <c r="I764" s="1"/>
      <c r="J764" s="1"/>
    </row>
    <row r="765" spans="7:10">
      <c r="G765" s="1"/>
      <c r="H765" s="1"/>
      <c r="I765" s="1"/>
      <c r="J765" s="1"/>
    </row>
    <row r="766" spans="7:10">
      <c r="G766" s="1"/>
      <c r="H766" s="1"/>
      <c r="I766" s="1"/>
      <c r="J766" s="1"/>
    </row>
    <row r="767" spans="7:10">
      <c r="G767" s="1"/>
      <c r="H767" s="1"/>
      <c r="I767" s="1"/>
      <c r="J767" s="1"/>
    </row>
    <row r="768" spans="7:10">
      <c r="G768" s="1"/>
      <c r="H768" s="1"/>
      <c r="I768" s="1"/>
      <c r="J768" s="1"/>
    </row>
    <row r="769" spans="7:10">
      <c r="G769" s="1"/>
      <c r="H769" s="1"/>
      <c r="I769" s="1"/>
      <c r="J769" s="1"/>
    </row>
    <row r="770" spans="7:10">
      <c r="G770" s="1"/>
      <c r="H770" s="1"/>
      <c r="I770" s="1"/>
      <c r="J770" s="1"/>
    </row>
    <row r="771" spans="7:10">
      <c r="G771" s="1"/>
      <c r="H771" s="1"/>
      <c r="I771" s="1"/>
      <c r="J771" s="1"/>
    </row>
    <row r="772" spans="7:10">
      <c r="G772" s="1"/>
      <c r="H772" s="1"/>
      <c r="I772" s="1"/>
      <c r="J772" s="1"/>
    </row>
    <row r="773" spans="7:10">
      <c r="G773" s="1"/>
      <c r="H773" s="1"/>
      <c r="I773" s="1"/>
      <c r="J773" s="1"/>
    </row>
    <row r="774" spans="7:10">
      <c r="G774" s="1"/>
      <c r="H774" s="1"/>
      <c r="I774" s="1"/>
      <c r="J774" s="1"/>
    </row>
    <row r="775" spans="7:10">
      <c r="G775" s="1"/>
      <c r="H775" s="1"/>
      <c r="I775" s="1"/>
      <c r="J775" s="1"/>
    </row>
    <row r="776" spans="7:10">
      <c r="G776" s="1"/>
      <c r="H776" s="1"/>
      <c r="I776" s="1"/>
      <c r="J776" s="1"/>
    </row>
    <row r="777" spans="7:10">
      <c r="G777" s="1"/>
      <c r="H777" s="1"/>
      <c r="I777" s="1"/>
      <c r="J777" s="1"/>
    </row>
    <row r="778" spans="7:10">
      <c r="G778" s="1"/>
      <c r="H778" s="1"/>
      <c r="I778" s="1"/>
      <c r="J778" s="1"/>
    </row>
    <row r="779" spans="7:10">
      <c r="G779" s="1"/>
      <c r="H779" s="1"/>
      <c r="I779" s="1"/>
      <c r="J779" s="1"/>
    </row>
    <row r="780" spans="7:10">
      <c r="G780" s="1"/>
      <c r="H780" s="1"/>
      <c r="I780" s="1"/>
      <c r="J780" s="1"/>
    </row>
    <row r="781" spans="7:10">
      <c r="G781" s="1"/>
      <c r="H781" s="1"/>
      <c r="I781" s="1"/>
      <c r="J781" s="1"/>
    </row>
    <row r="782" spans="7:10">
      <c r="G782" s="1"/>
      <c r="H782" s="1"/>
      <c r="I782" s="1"/>
      <c r="J782" s="1"/>
    </row>
    <row r="783" spans="7:10">
      <c r="G783" s="1"/>
      <c r="H783" s="1"/>
      <c r="I783" s="1"/>
      <c r="J783" s="1"/>
    </row>
    <row r="784" spans="7:10">
      <c r="G784" s="1"/>
      <c r="H784" s="1"/>
      <c r="I784" s="1"/>
      <c r="J784" s="1"/>
    </row>
    <row r="785" spans="7:10">
      <c r="G785" s="1"/>
      <c r="H785" s="1"/>
      <c r="I785" s="1"/>
      <c r="J785" s="1"/>
    </row>
    <row r="786" spans="7:10">
      <c r="G786" s="1"/>
      <c r="H786" s="1"/>
      <c r="I786" s="1"/>
      <c r="J786" s="1"/>
    </row>
    <row r="787" spans="7:10">
      <c r="G787" s="1"/>
      <c r="H787" s="1"/>
      <c r="I787" s="1"/>
      <c r="J787" s="1"/>
    </row>
    <row r="788" spans="7:10">
      <c r="G788" s="1"/>
      <c r="H788" s="1"/>
      <c r="I788" s="1"/>
      <c r="J788" s="1"/>
    </row>
    <row r="789" spans="7:10">
      <c r="G789" s="1"/>
      <c r="H789" s="1"/>
      <c r="I789" s="1"/>
      <c r="J789" s="1"/>
    </row>
    <row r="790" spans="7:10">
      <c r="G790" s="1"/>
      <c r="H790" s="1"/>
      <c r="I790" s="1"/>
      <c r="J790" s="1"/>
    </row>
    <row r="791" spans="7:10">
      <c r="G791" s="1"/>
      <c r="H791" s="1"/>
      <c r="I791" s="1"/>
      <c r="J791" s="1"/>
    </row>
    <row r="792" spans="7:10">
      <c r="G792" s="1"/>
      <c r="H792" s="1"/>
      <c r="I792" s="1"/>
      <c r="J792" s="1"/>
    </row>
    <row r="793" spans="7:10">
      <c r="G793" s="1"/>
      <c r="H793" s="1"/>
      <c r="I793" s="1"/>
      <c r="J793" s="1"/>
    </row>
    <row r="794" spans="7:10">
      <c r="G794" s="1"/>
      <c r="H794" s="1"/>
      <c r="I794" s="1"/>
      <c r="J794" s="1"/>
    </row>
    <row r="795" spans="7:10">
      <c r="G795" s="1"/>
      <c r="H795" s="1"/>
      <c r="I795" s="1"/>
      <c r="J795" s="1"/>
    </row>
    <row r="796" spans="7:10">
      <c r="G796" s="1"/>
      <c r="H796" s="1"/>
      <c r="I796" s="1"/>
      <c r="J796" s="1"/>
    </row>
    <row r="797" spans="7:10">
      <c r="G797" s="1"/>
      <c r="H797" s="1"/>
      <c r="I797" s="1"/>
      <c r="J797" s="1"/>
    </row>
    <row r="798" spans="7:10">
      <c r="G798" s="1"/>
      <c r="H798" s="1"/>
      <c r="I798" s="1"/>
      <c r="J798" s="1"/>
    </row>
    <row r="799" spans="7:10">
      <c r="G799" s="1"/>
      <c r="H799" s="1"/>
      <c r="I799" s="1"/>
      <c r="J799" s="1"/>
    </row>
    <row r="800" spans="7:10">
      <c r="G800" s="1"/>
      <c r="H800" s="1"/>
      <c r="I800" s="1"/>
      <c r="J800" s="1"/>
    </row>
    <row r="801" spans="7:10">
      <c r="G801" s="1"/>
      <c r="H801" s="1"/>
      <c r="I801" s="1"/>
      <c r="J801" s="1"/>
    </row>
    <row r="802" spans="7:10">
      <c r="G802" s="1"/>
      <c r="H802" s="1"/>
      <c r="I802" s="1"/>
      <c r="J802" s="1"/>
    </row>
    <row r="803" spans="7:10">
      <c r="G803" s="1"/>
      <c r="H803" s="1"/>
      <c r="I803" s="1"/>
      <c r="J803" s="1"/>
    </row>
    <row r="804" spans="7:10">
      <c r="G804" s="1"/>
      <c r="H804" s="1"/>
      <c r="I804" s="1"/>
      <c r="J804" s="1"/>
    </row>
    <row r="805" spans="7:10">
      <c r="G805" s="1"/>
      <c r="H805" s="1"/>
      <c r="I805" s="1"/>
      <c r="J805" s="1"/>
    </row>
    <row r="806" spans="7:10">
      <c r="G806" s="1"/>
      <c r="H806" s="1"/>
      <c r="I806" s="1"/>
      <c r="J806" s="1"/>
    </row>
    <row r="807" spans="7:10">
      <c r="G807" s="1"/>
      <c r="H807" s="1"/>
      <c r="I807" s="1"/>
      <c r="J807" s="1"/>
    </row>
    <row r="808" spans="7:10">
      <c r="G808" s="1"/>
      <c r="H808" s="1"/>
      <c r="I808" s="1"/>
      <c r="J808" s="1"/>
    </row>
    <row r="809" spans="7:10">
      <c r="G809" s="1"/>
      <c r="H809" s="1"/>
      <c r="I809" s="1"/>
      <c r="J809" s="1"/>
    </row>
    <row r="810" spans="7:10">
      <c r="G810" s="1"/>
      <c r="H810" s="1"/>
      <c r="I810" s="1"/>
      <c r="J810" s="1"/>
    </row>
    <row r="811" spans="7:10">
      <c r="G811" s="1"/>
      <c r="H811" s="1"/>
      <c r="I811" s="1"/>
      <c r="J811" s="1"/>
    </row>
    <row r="812" spans="7:10">
      <c r="G812" s="1"/>
      <c r="H812" s="1"/>
      <c r="I812" s="1"/>
      <c r="J812" s="1"/>
    </row>
    <row r="813" spans="7:10">
      <c r="G813" s="1"/>
      <c r="H813" s="1"/>
      <c r="I813" s="1"/>
      <c r="J813" s="1"/>
    </row>
    <row r="814" spans="7:10">
      <c r="G814" s="1"/>
      <c r="H814" s="1"/>
      <c r="I814" s="1"/>
      <c r="J814" s="1"/>
    </row>
    <row r="815" spans="7:10">
      <c r="G815" s="1"/>
      <c r="H815" s="1"/>
      <c r="I815" s="1"/>
      <c r="J815" s="1"/>
    </row>
    <row r="816" spans="7:10">
      <c r="G816" s="1"/>
      <c r="H816" s="1"/>
      <c r="I816" s="1"/>
      <c r="J816" s="1"/>
    </row>
    <row r="817" spans="7:10">
      <c r="G817" s="1"/>
      <c r="H817" s="1"/>
      <c r="I817" s="1"/>
      <c r="J817" s="1"/>
    </row>
    <row r="818" spans="7:10">
      <c r="G818" s="1"/>
      <c r="H818" s="1"/>
      <c r="I818" s="1"/>
      <c r="J818" s="1"/>
    </row>
    <row r="819" spans="7:10">
      <c r="G819" s="1"/>
      <c r="H819" s="1"/>
      <c r="I819" s="1"/>
      <c r="J819" s="1"/>
    </row>
    <row r="820" spans="7:10">
      <c r="G820" s="1"/>
      <c r="H820" s="1"/>
      <c r="I820" s="1"/>
      <c r="J820" s="1"/>
    </row>
    <row r="821" spans="7:10">
      <c r="G821" s="1"/>
      <c r="H821" s="1"/>
      <c r="I821" s="1"/>
      <c r="J821" s="1"/>
    </row>
    <row r="822" spans="7:10">
      <c r="G822" s="1"/>
      <c r="H822" s="1"/>
      <c r="I822" s="1"/>
      <c r="J822" s="1"/>
    </row>
    <row r="823" spans="7:10">
      <c r="G823" s="1"/>
      <c r="H823" s="1"/>
      <c r="I823" s="1"/>
      <c r="J823" s="1"/>
    </row>
    <row r="824" spans="7:10">
      <c r="G824" s="1"/>
      <c r="H824" s="1"/>
      <c r="I824" s="1"/>
      <c r="J824" s="1"/>
    </row>
    <row r="825" spans="7:10">
      <c r="G825" s="1"/>
      <c r="H825" s="1"/>
      <c r="I825" s="1"/>
      <c r="J825" s="1"/>
    </row>
    <row r="826" spans="7:10">
      <c r="G826" s="1"/>
      <c r="H826" s="1"/>
      <c r="I826" s="1"/>
      <c r="J826" s="1"/>
    </row>
    <row r="827" spans="7:10">
      <c r="G827" s="1"/>
      <c r="H827" s="1"/>
      <c r="I827" s="1"/>
      <c r="J827" s="1"/>
    </row>
    <row r="828" spans="7:10">
      <c r="G828" s="1"/>
      <c r="H828" s="1"/>
      <c r="I828" s="1"/>
      <c r="J828" s="1"/>
    </row>
    <row r="829" spans="7:10">
      <c r="G829" s="1"/>
      <c r="H829" s="1"/>
      <c r="I829" s="1"/>
      <c r="J829" s="1"/>
    </row>
    <row r="830" spans="7:10">
      <c r="G830" s="1"/>
      <c r="H830" s="1"/>
      <c r="I830" s="1"/>
      <c r="J830" s="1"/>
    </row>
    <row r="831" spans="7:10">
      <c r="G831" s="1"/>
      <c r="H831" s="1"/>
      <c r="I831" s="1"/>
      <c r="J831" s="1"/>
    </row>
    <row r="832" spans="7:10">
      <c r="G832" s="1"/>
      <c r="H832" s="1"/>
      <c r="I832" s="1"/>
      <c r="J832" s="1"/>
    </row>
    <row r="833" spans="7:10">
      <c r="G833" s="1"/>
      <c r="H833" s="1"/>
      <c r="I833" s="1"/>
      <c r="J833" s="1"/>
    </row>
    <row r="834" spans="7:10">
      <c r="G834" s="1"/>
      <c r="H834" s="1"/>
      <c r="I834" s="1"/>
      <c r="J834" s="1"/>
    </row>
    <row r="835" spans="7:10">
      <c r="G835" s="1"/>
      <c r="H835" s="1"/>
      <c r="I835" s="1"/>
      <c r="J835" s="1"/>
    </row>
    <row r="836" spans="7:10">
      <c r="G836" s="1"/>
      <c r="H836" s="1"/>
      <c r="I836" s="1"/>
      <c r="J836" s="1"/>
    </row>
    <row r="837" spans="7:10">
      <c r="G837" s="1"/>
      <c r="H837" s="1"/>
      <c r="I837" s="1"/>
      <c r="J837" s="1"/>
    </row>
    <row r="838" spans="7:10">
      <c r="G838" s="1"/>
      <c r="H838" s="1"/>
      <c r="I838" s="1"/>
      <c r="J838" s="1"/>
    </row>
    <row r="839" spans="7:10">
      <c r="G839" s="1"/>
      <c r="H839" s="1"/>
      <c r="I839" s="1"/>
      <c r="J839" s="1"/>
    </row>
    <row r="840" spans="7:10">
      <c r="G840" s="1"/>
      <c r="H840" s="1"/>
      <c r="I840" s="1"/>
      <c r="J840" s="1"/>
    </row>
    <row r="841" spans="7:10">
      <c r="G841" s="1"/>
      <c r="H841" s="1"/>
      <c r="I841" s="1"/>
      <c r="J841" s="1"/>
    </row>
    <row r="842" spans="7:10">
      <c r="G842" s="1"/>
      <c r="H842" s="1"/>
      <c r="I842" s="1"/>
      <c r="J842" s="1"/>
    </row>
    <row r="843" spans="7:10">
      <c r="G843" s="1"/>
      <c r="H843" s="1"/>
      <c r="I843" s="1"/>
      <c r="J843" s="1"/>
    </row>
    <row r="844" spans="7:10">
      <c r="G844" s="1"/>
      <c r="H844" s="1"/>
      <c r="I844" s="1"/>
      <c r="J844" s="1"/>
    </row>
    <row r="845" spans="7:10">
      <c r="G845" s="1"/>
      <c r="H845" s="1"/>
      <c r="I845" s="1"/>
      <c r="J845" s="1"/>
    </row>
    <row r="846" spans="7:10">
      <c r="G846" s="1"/>
      <c r="H846" s="1"/>
      <c r="I846" s="1"/>
      <c r="J846" s="1"/>
    </row>
    <row r="847" spans="7:10">
      <c r="G847" s="1"/>
      <c r="H847" s="1"/>
      <c r="I847" s="1"/>
      <c r="J847" s="1"/>
    </row>
    <row r="848" spans="7:10">
      <c r="G848" s="1"/>
      <c r="H848" s="1"/>
      <c r="I848" s="1"/>
      <c r="J848" s="1"/>
    </row>
    <row r="849" spans="7:10">
      <c r="G849" s="1"/>
      <c r="H849" s="1"/>
      <c r="I849" s="1"/>
      <c r="J849" s="1"/>
    </row>
    <row r="850" spans="7:10">
      <c r="G850" s="1"/>
      <c r="H850" s="1"/>
      <c r="I850" s="1"/>
      <c r="J850" s="1"/>
    </row>
    <row r="851" spans="7:10">
      <c r="G851" s="1"/>
      <c r="H851" s="1"/>
      <c r="I851" s="1"/>
      <c r="J851" s="1"/>
    </row>
    <row r="852" spans="7:10">
      <c r="G852" s="1"/>
      <c r="H852" s="1"/>
      <c r="I852" s="1"/>
      <c r="J852" s="1"/>
    </row>
    <row r="853" spans="7:10">
      <c r="G853" s="1"/>
      <c r="H853" s="1"/>
      <c r="I853" s="1"/>
      <c r="J853" s="1"/>
    </row>
    <row r="854" spans="7:10">
      <c r="G854" s="1"/>
      <c r="H854" s="1"/>
      <c r="I854" s="1"/>
      <c r="J854" s="1"/>
    </row>
    <row r="855" spans="7:10">
      <c r="G855" s="1"/>
      <c r="H855" s="1"/>
      <c r="I855" s="1"/>
      <c r="J855" s="1"/>
    </row>
    <row r="856" spans="7:10">
      <c r="G856" s="1"/>
      <c r="H856" s="1"/>
      <c r="I856" s="1"/>
      <c r="J856" s="1"/>
    </row>
    <row r="857" spans="7:10">
      <c r="G857" s="1"/>
      <c r="H857" s="1"/>
      <c r="I857" s="1"/>
      <c r="J857" s="1"/>
    </row>
    <row r="858" spans="7:10">
      <c r="G858" s="1"/>
      <c r="H858" s="1"/>
      <c r="I858" s="1"/>
      <c r="J858" s="1"/>
    </row>
    <row r="859" spans="7:10">
      <c r="G859" s="1"/>
      <c r="H859" s="1"/>
      <c r="I859" s="1"/>
      <c r="J859" s="1"/>
    </row>
    <row r="860" spans="7:10">
      <c r="G860" s="1"/>
      <c r="H860" s="1"/>
      <c r="I860" s="1"/>
      <c r="J860" s="1"/>
    </row>
    <row r="861" spans="7:10">
      <c r="G861" s="1"/>
      <c r="H861" s="1"/>
      <c r="I861" s="1"/>
      <c r="J861" s="1"/>
    </row>
    <row r="862" spans="7:10">
      <c r="G862" s="1"/>
      <c r="H862" s="1"/>
      <c r="I862" s="1"/>
      <c r="J862" s="1"/>
    </row>
    <row r="863" spans="7:10">
      <c r="G863" s="1"/>
      <c r="H863" s="1"/>
      <c r="I863" s="1"/>
      <c r="J863" s="1"/>
    </row>
    <row r="864" spans="7:10">
      <c r="G864" s="1"/>
      <c r="H864" s="1"/>
      <c r="I864" s="1"/>
      <c r="J864" s="1"/>
    </row>
    <row r="865" spans="7:10">
      <c r="G865" s="1"/>
      <c r="H865" s="1"/>
      <c r="I865" s="1"/>
      <c r="J865" s="1"/>
    </row>
    <row r="866" spans="7:10">
      <c r="G866" s="1"/>
      <c r="H866" s="1"/>
      <c r="I866" s="1"/>
      <c r="J866" s="1"/>
    </row>
    <row r="867" spans="7:10">
      <c r="G867" s="1"/>
      <c r="H867" s="1"/>
      <c r="I867" s="1"/>
      <c r="J867" s="1"/>
    </row>
    <row r="868" spans="7:10">
      <c r="G868" s="1"/>
      <c r="H868" s="1"/>
      <c r="I868" s="1"/>
      <c r="J868" s="1"/>
    </row>
    <row r="869" spans="7:10">
      <c r="G869" s="1"/>
      <c r="H869" s="1"/>
      <c r="I869" s="1"/>
      <c r="J869" s="1"/>
    </row>
    <row r="870" spans="7:10">
      <c r="G870" s="1"/>
      <c r="H870" s="1"/>
      <c r="I870" s="1"/>
      <c r="J870" s="1"/>
    </row>
    <row r="871" spans="7:10">
      <c r="G871" s="1"/>
      <c r="H871" s="1"/>
      <c r="I871" s="1"/>
      <c r="J871" s="1"/>
    </row>
    <row r="872" spans="7:10">
      <c r="G872" s="1"/>
      <c r="H872" s="1"/>
      <c r="I872" s="1"/>
      <c r="J872" s="1"/>
    </row>
    <row r="873" spans="7:10">
      <c r="G873" s="1"/>
      <c r="H873" s="1"/>
      <c r="I873" s="1"/>
      <c r="J873" s="1"/>
    </row>
    <row r="874" spans="7:10">
      <c r="G874" s="1"/>
      <c r="H874" s="1"/>
      <c r="I874" s="1"/>
      <c r="J874" s="1"/>
    </row>
    <row r="875" spans="7:10">
      <c r="G875" s="1"/>
      <c r="H875" s="1"/>
      <c r="I875" s="1"/>
      <c r="J875" s="1"/>
    </row>
    <row r="876" spans="7:10">
      <c r="G876" s="1"/>
      <c r="H876" s="1"/>
      <c r="I876" s="1"/>
      <c r="J876" s="1"/>
    </row>
    <row r="877" spans="7:10">
      <c r="G877" s="1"/>
      <c r="H877" s="1"/>
      <c r="I877" s="1"/>
      <c r="J877" s="1"/>
    </row>
    <row r="878" spans="7:10">
      <c r="G878" s="1"/>
      <c r="H878" s="1"/>
      <c r="I878" s="1"/>
      <c r="J878" s="1"/>
    </row>
    <row r="879" spans="7:10">
      <c r="G879" s="1"/>
      <c r="H879" s="1"/>
      <c r="I879" s="1"/>
      <c r="J879" s="1"/>
    </row>
    <row r="880" spans="7:10">
      <c r="G880" s="1"/>
      <c r="H880" s="1"/>
      <c r="I880" s="1"/>
      <c r="J880" s="1"/>
    </row>
    <row r="881" spans="7:10">
      <c r="G881" s="1"/>
      <c r="H881" s="1"/>
      <c r="I881" s="1"/>
      <c r="J881" s="1"/>
    </row>
    <row r="882" spans="7:10">
      <c r="G882" s="1"/>
      <c r="H882" s="1"/>
      <c r="I882" s="1"/>
      <c r="J882" s="1"/>
    </row>
    <row r="883" spans="7:10">
      <c r="G883" s="1"/>
      <c r="H883" s="1"/>
      <c r="I883" s="1"/>
      <c r="J883" s="1"/>
    </row>
    <row r="884" spans="7:10">
      <c r="G884" s="1"/>
      <c r="H884" s="1"/>
      <c r="I884" s="1"/>
      <c r="J884" s="1"/>
    </row>
    <row r="885" spans="7:10">
      <c r="G885" s="1"/>
      <c r="H885" s="1"/>
      <c r="I885" s="1"/>
      <c r="J885" s="1"/>
    </row>
    <row r="886" spans="7:10">
      <c r="G886" s="1"/>
      <c r="H886" s="1"/>
      <c r="I886" s="1"/>
      <c r="J886" s="1"/>
    </row>
    <row r="887" spans="7:10">
      <c r="G887" s="1"/>
      <c r="H887" s="1"/>
      <c r="I887" s="1"/>
      <c r="J887" s="1"/>
    </row>
    <row r="888" spans="7:10">
      <c r="G888" s="1"/>
      <c r="H888" s="1"/>
      <c r="I888" s="1"/>
      <c r="J888" s="1"/>
    </row>
    <row r="889" spans="7:10">
      <c r="G889" s="1"/>
      <c r="H889" s="1"/>
      <c r="I889" s="1"/>
      <c r="J889" s="1"/>
    </row>
    <row r="890" spans="7:10">
      <c r="G890" s="1"/>
      <c r="H890" s="1"/>
      <c r="I890" s="1"/>
      <c r="J890" s="1"/>
    </row>
    <row r="891" spans="7:10">
      <c r="G891" s="1"/>
      <c r="H891" s="1"/>
      <c r="I891" s="1"/>
      <c r="J891" s="1"/>
    </row>
    <row r="892" spans="7:10">
      <c r="G892" s="1"/>
      <c r="H892" s="1"/>
      <c r="I892" s="1"/>
      <c r="J892" s="1"/>
    </row>
    <row r="893" spans="7:10">
      <c r="G893" s="1"/>
      <c r="H893" s="1"/>
      <c r="I893" s="1"/>
      <c r="J893" s="1"/>
    </row>
    <row r="894" spans="7:10">
      <c r="G894" s="1"/>
      <c r="H894" s="1"/>
      <c r="I894" s="1"/>
      <c r="J894" s="1"/>
    </row>
    <row r="895" spans="7:10">
      <c r="G895" s="1"/>
      <c r="H895" s="1"/>
      <c r="I895" s="1"/>
      <c r="J895" s="1"/>
    </row>
    <row r="896" spans="7:10">
      <c r="G896" s="1"/>
      <c r="H896" s="1"/>
      <c r="I896" s="1"/>
      <c r="J896" s="1"/>
    </row>
    <row r="897" spans="7:10">
      <c r="G897" s="1"/>
      <c r="H897" s="1"/>
      <c r="I897" s="1"/>
      <c r="J897" s="1"/>
    </row>
    <row r="898" spans="7:10">
      <c r="G898" s="1"/>
      <c r="H898" s="1"/>
      <c r="I898" s="1"/>
      <c r="J898" s="1"/>
    </row>
    <row r="899" spans="7:10">
      <c r="G899" s="1"/>
      <c r="H899" s="1"/>
      <c r="I899" s="1"/>
      <c r="J899" s="1"/>
    </row>
    <row r="900" spans="7:10">
      <c r="G900" s="1"/>
      <c r="H900" s="1"/>
      <c r="I900" s="1"/>
      <c r="J900" s="1"/>
    </row>
    <row r="901" spans="7:10">
      <c r="G901" s="1"/>
      <c r="H901" s="1"/>
      <c r="I901" s="1"/>
      <c r="J901" s="1"/>
    </row>
    <row r="902" spans="7:10">
      <c r="G902" s="1"/>
      <c r="H902" s="1"/>
      <c r="I902" s="1"/>
      <c r="J902" s="1"/>
    </row>
    <row r="903" spans="7:10">
      <c r="G903" s="1"/>
      <c r="H903" s="1"/>
      <c r="I903" s="1"/>
      <c r="J903" s="1"/>
    </row>
    <row r="904" spans="7:10">
      <c r="G904" s="1"/>
      <c r="H904" s="1"/>
      <c r="I904" s="1"/>
      <c r="J904" s="1"/>
    </row>
    <row r="905" spans="7:10">
      <c r="G905" s="1"/>
      <c r="H905" s="1"/>
      <c r="I905" s="1"/>
      <c r="J905" s="1"/>
    </row>
    <row r="906" spans="7:10">
      <c r="G906" s="1"/>
      <c r="H906" s="1"/>
      <c r="I906" s="1"/>
      <c r="J906" s="1"/>
    </row>
    <row r="907" spans="7:10">
      <c r="G907" s="1"/>
      <c r="H907" s="1"/>
      <c r="I907" s="1"/>
      <c r="J907" s="1"/>
    </row>
    <row r="908" spans="7:10">
      <c r="G908" s="1"/>
      <c r="H908" s="1"/>
      <c r="I908" s="1"/>
      <c r="J908" s="1"/>
    </row>
    <row r="909" spans="7:10">
      <c r="G909" s="1"/>
      <c r="H909" s="1"/>
      <c r="I909" s="1"/>
      <c r="J909" s="1"/>
    </row>
    <row r="910" spans="7:10">
      <c r="G910" s="1"/>
      <c r="H910" s="1"/>
      <c r="I910" s="1"/>
      <c r="J910" s="1"/>
    </row>
    <row r="911" spans="7:10">
      <c r="G911" s="1"/>
      <c r="H911" s="1"/>
      <c r="I911" s="1"/>
      <c r="J911" s="1"/>
    </row>
    <row r="912" spans="7:10">
      <c r="G912" s="1"/>
      <c r="H912" s="1"/>
      <c r="I912" s="1"/>
      <c r="J912" s="1"/>
    </row>
    <row r="913" spans="7:10">
      <c r="G913" s="1"/>
      <c r="H913" s="1"/>
      <c r="I913" s="1"/>
      <c r="J913" s="1"/>
    </row>
    <row r="914" spans="7:10">
      <c r="G914" s="1"/>
      <c r="H914" s="1"/>
      <c r="I914" s="1"/>
      <c r="J914" s="1"/>
    </row>
    <row r="915" spans="7:10">
      <c r="G915" s="1"/>
      <c r="H915" s="1"/>
      <c r="I915" s="1"/>
      <c r="J915" s="1"/>
    </row>
    <row r="916" spans="7:10">
      <c r="G916" s="1"/>
      <c r="H916" s="1"/>
      <c r="I916" s="1"/>
      <c r="J916" s="1"/>
    </row>
    <row r="917" spans="7:10">
      <c r="G917" s="1"/>
      <c r="H917" s="1"/>
      <c r="I917" s="1"/>
      <c r="J917" s="1"/>
    </row>
    <row r="918" spans="7:10">
      <c r="G918" s="1"/>
      <c r="H918" s="1"/>
      <c r="I918" s="1"/>
      <c r="J918" s="1"/>
    </row>
    <row r="919" spans="7:10">
      <c r="G919" s="1"/>
      <c r="H919" s="1"/>
      <c r="I919" s="1"/>
      <c r="J919" s="1"/>
    </row>
    <row r="920" spans="7:10">
      <c r="G920" s="1"/>
      <c r="H920" s="1"/>
      <c r="I920" s="1"/>
      <c r="J920" s="1"/>
    </row>
    <row r="921" spans="7:10">
      <c r="G921" s="1"/>
      <c r="H921" s="1"/>
      <c r="I921" s="1"/>
      <c r="J921" s="1"/>
    </row>
    <row r="922" spans="7:10">
      <c r="G922" s="1"/>
      <c r="H922" s="1"/>
      <c r="I922" s="1"/>
      <c r="J922" s="1"/>
    </row>
    <row r="923" spans="7:10">
      <c r="G923" s="1"/>
      <c r="H923" s="1"/>
      <c r="I923" s="1"/>
      <c r="J923" s="1"/>
    </row>
    <row r="924" spans="7:10">
      <c r="G924" s="1"/>
      <c r="H924" s="1"/>
      <c r="I924" s="1"/>
      <c r="J924" s="1"/>
    </row>
    <row r="925" spans="7:10">
      <c r="G925" s="1"/>
      <c r="H925" s="1"/>
      <c r="I925" s="1"/>
      <c r="J925" s="1"/>
    </row>
    <row r="926" spans="7:10">
      <c r="G926" s="1"/>
      <c r="H926" s="1"/>
      <c r="I926" s="1"/>
      <c r="J926" s="1"/>
    </row>
    <row r="927" spans="7:10">
      <c r="G927" s="1"/>
      <c r="H927" s="1"/>
      <c r="I927" s="1"/>
      <c r="J927" s="1"/>
    </row>
    <row r="928" spans="7:10">
      <c r="G928" s="1"/>
      <c r="H928" s="1"/>
      <c r="I928" s="1"/>
      <c r="J928" s="1"/>
    </row>
    <row r="929" spans="7:10">
      <c r="G929" s="1"/>
      <c r="H929" s="1"/>
      <c r="I929" s="1"/>
      <c r="J929" s="1"/>
    </row>
    <row r="930" spans="7:10">
      <c r="G930" s="1"/>
      <c r="H930" s="1"/>
      <c r="I930" s="1"/>
      <c r="J930" s="1"/>
    </row>
    <row r="931" spans="7:10">
      <c r="G931" s="1"/>
      <c r="H931" s="1"/>
      <c r="I931" s="1"/>
      <c r="J931" s="1"/>
    </row>
    <row r="932" spans="7:10">
      <c r="G932" s="1"/>
      <c r="H932" s="1"/>
      <c r="I932" s="1"/>
      <c r="J932" s="1"/>
    </row>
    <row r="933" spans="7:10">
      <c r="G933" s="1"/>
      <c r="H933" s="1"/>
      <c r="I933" s="1"/>
      <c r="J933" s="1"/>
    </row>
    <row r="934" spans="7:10">
      <c r="G934" s="1"/>
      <c r="H934" s="1"/>
      <c r="I934" s="1"/>
      <c r="J934" s="1"/>
    </row>
    <row r="935" spans="7:10">
      <c r="G935" s="1"/>
      <c r="H935" s="1"/>
      <c r="I935" s="1"/>
      <c r="J935" s="1"/>
    </row>
    <row r="936" spans="7:10">
      <c r="G936" s="1"/>
      <c r="H936" s="1"/>
      <c r="I936" s="1"/>
      <c r="J936" s="1"/>
    </row>
    <row r="937" spans="7:10">
      <c r="G937" s="1"/>
      <c r="H937" s="1"/>
      <c r="I937" s="1"/>
      <c r="J937" s="1"/>
    </row>
    <row r="938" spans="7:10">
      <c r="G938" s="1"/>
      <c r="H938" s="1"/>
      <c r="I938" s="1"/>
      <c r="J938" s="1"/>
    </row>
    <row r="939" spans="7:10">
      <c r="G939" s="1"/>
      <c r="H939" s="1"/>
      <c r="I939" s="1"/>
      <c r="J939" s="1"/>
    </row>
    <row r="940" spans="7:10">
      <c r="G940" s="1"/>
      <c r="H940" s="1"/>
      <c r="I940" s="1"/>
      <c r="J940" s="1"/>
    </row>
    <row r="941" spans="7:10">
      <c r="G941" s="1"/>
      <c r="H941" s="1"/>
      <c r="I941" s="1"/>
      <c r="J941" s="1"/>
    </row>
    <row r="942" spans="7:10">
      <c r="G942" s="1"/>
      <c r="H942" s="1"/>
      <c r="I942" s="1"/>
      <c r="J942" s="1"/>
    </row>
    <row r="943" spans="7:10">
      <c r="G943" s="1"/>
      <c r="H943" s="1"/>
      <c r="I943" s="1"/>
      <c r="J943" s="1"/>
    </row>
    <row r="944" spans="7:10">
      <c r="G944" s="1"/>
      <c r="H944" s="1"/>
      <c r="I944" s="1"/>
      <c r="J944" s="1"/>
    </row>
    <row r="945" spans="7:10">
      <c r="G945" s="1"/>
      <c r="H945" s="1"/>
      <c r="I945" s="1"/>
      <c r="J945" s="1"/>
    </row>
    <row r="946" spans="7:10">
      <c r="G946" s="1"/>
      <c r="H946" s="1"/>
      <c r="I946" s="1"/>
      <c r="J946" s="1"/>
    </row>
    <row r="947" spans="7:10">
      <c r="G947" s="1"/>
      <c r="H947" s="1"/>
      <c r="I947" s="1"/>
      <c r="J947" s="1"/>
    </row>
    <row r="948" spans="7:10">
      <c r="G948" s="1"/>
      <c r="H948" s="1"/>
      <c r="I948" s="1"/>
      <c r="J948" s="1"/>
    </row>
    <row r="949" spans="7:10">
      <c r="G949" s="1"/>
      <c r="H949" s="1"/>
      <c r="I949" s="1"/>
      <c r="J949" s="1"/>
    </row>
    <row r="950" spans="7:10">
      <c r="G950" s="1"/>
      <c r="H950" s="1"/>
      <c r="I950" s="1"/>
      <c r="J950" s="1"/>
    </row>
    <row r="951" spans="7:10">
      <c r="G951" s="1"/>
      <c r="H951" s="1"/>
      <c r="I951" s="1"/>
      <c r="J951" s="1"/>
    </row>
    <row r="952" spans="7:10">
      <c r="G952" s="1"/>
      <c r="H952" s="1"/>
      <c r="I952" s="1"/>
      <c r="J952" s="1"/>
    </row>
    <row r="953" spans="7:10">
      <c r="G953" s="1"/>
      <c r="H953" s="1"/>
      <c r="I953" s="1"/>
      <c r="J953" s="1"/>
    </row>
    <row r="954" spans="7:10">
      <c r="G954" s="1"/>
      <c r="H954" s="1"/>
      <c r="I954" s="1"/>
      <c r="J954" s="1"/>
    </row>
    <row r="955" spans="7:10">
      <c r="G955" s="1"/>
      <c r="H955" s="1"/>
      <c r="I955" s="1"/>
      <c r="J955" s="1"/>
    </row>
    <row r="956" spans="7:10">
      <c r="G956" s="1"/>
      <c r="H956" s="1"/>
      <c r="I956" s="1"/>
      <c r="J956" s="1"/>
    </row>
    <row r="957" spans="7:10">
      <c r="G957" s="1"/>
      <c r="H957" s="1"/>
      <c r="I957" s="1"/>
      <c r="J957" s="1"/>
    </row>
    <row r="958" spans="7:10">
      <c r="G958" s="1"/>
      <c r="H958" s="1"/>
      <c r="I958" s="1"/>
      <c r="J958" s="1"/>
    </row>
    <row r="959" spans="7:10">
      <c r="G959" s="1"/>
      <c r="H959" s="1"/>
      <c r="I959" s="1"/>
      <c r="J959" s="1"/>
    </row>
    <row r="960" spans="7:10">
      <c r="G960" s="1"/>
      <c r="H960" s="1"/>
      <c r="I960" s="1"/>
      <c r="J960" s="1"/>
    </row>
    <row r="961" spans="7:10">
      <c r="G961" s="1"/>
      <c r="H961" s="1"/>
      <c r="I961" s="1"/>
      <c r="J961" s="1"/>
    </row>
    <row r="962" spans="7:10">
      <c r="G962" s="1"/>
      <c r="H962" s="1"/>
      <c r="I962" s="1"/>
      <c r="J962" s="1"/>
    </row>
    <row r="963" spans="7:10">
      <c r="G963" s="1"/>
      <c r="H963" s="1"/>
      <c r="I963" s="1"/>
      <c r="J963" s="1"/>
    </row>
    <row r="964" spans="7:10">
      <c r="G964" s="1"/>
      <c r="H964" s="1"/>
      <c r="I964" s="1"/>
      <c r="J964" s="1"/>
    </row>
    <row r="965" spans="7:10">
      <c r="G965" s="1"/>
      <c r="H965" s="1"/>
      <c r="I965" s="1"/>
      <c r="J965" s="1"/>
    </row>
    <row r="966" spans="7:10">
      <c r="G966" s="1"/>
      <c r="H966" s="1"/>
      <c r="I966" s="1"/>
      <c r="J966" s="1"/>
    </row>
    <row r="967" spans="7:10">
      <c r="G967" s="1"/>
      <c r="H967" s="1"/>
      <c r="I967" s="1"/>
      <c r="J967" s="1"/>
    </row>
    <row r="968" spans="7:10">
      <c r="G968" s="1"/>
      <c r="H968" s="1"/>
      <c r="I968" s="1"/>
      <c r="J968" s="1"/>
    </row>
    <row r="969" spans="7:10">
      <c r="G969" s="1"/>
      <c r="H969" s="1"/>
      <c r="I969" s="1"/>
      <c r="J969" s="1"/>
    </row>
    <row r="970" spans="7:10">
      <c r="G970" s="1"/>
      <c r="H970" s="1"/>
      <c r="I970" s="1"/>
      <c r="J970" s="1"/>
    </row>
    <row r="971" spans="7:10">
      <c r="G971" s="1"/>
      <c r="H971" s="1"/>
      <c r="I971" s="1"/>
      <c r="J971" s="1"/>
    </row>
    <row r="972" spans="7:10">
      <c r="G972" s="1"/>
      <c r="H972" s="1"/>
      <c r="I972" s="1"/>
      <c r="J972" s="1"/>
    </row>
    <row r="973" spans="7:10">
      <c r="G973" s="1"/>
      <c r="H973" s="1"/>
      <c r="I973" s="1"/>
      <c r="J973" s="1"/>
    </row>
    <row r="974" spans="7:10">
      <c r="G974" s="1"/>
      <c r="H974" s="1"/>
      <c r="I974" s="1"/>
      <c r="J974" s="1"/>
    </row>
    <row r="975" spans="7:10">
      <c r="G975" s="1"/>
      <c r="H975" s="1"/>
      <c r="I975" s="1"/>
      <c r="J975" s="1"/>
    </row>
    <row r="976" spans="7:10">
      <c r="G976" s="1"/>
      <c r="H976" s="1"/>
      <c r="I976" s="1"/>
      <c r="J976" s="1"/>
    </row>
    <row r="977" spans="7:10">
      <c r="G977" s="1"/>
      <c r="H977" s="1"/>
      <c r="I977" s="1"/>
      <c r="J977" s="1"/>
    </row>
    <row r="978" spans="7:10">
      <c r="G978" s="1"/>
      <c r="H978" s="1"/>
      <c r="I978" s="1"/>
      <c r="J978" s="1"/>
    </row>
    <row r="979" spans="7:10">
      <c r="G979" s="1"/>
      <c r="H979" s="1"/>
      <c r="I979" s="1"/>
      <c r="J979" s="1"/>
    </row>
    <row r="980" spans="7:10">
      <c r="G980" s="1"/>
      <c r="H980" s="1"/>
      <c r="I980" s="1"/>
      <c r="J980" s="1"/>
    </row>
    <row r="981" spans="7:10">
      <c r="G981" s="1"/>
      <c r="H981" s="1"/>
      <c r="I981" s="1"/>
      <c r="J981" s="1"/>
    </row>
    <row r="982" spans="7:10">
      <c r="G982" s="1"/>
      <c r="H982" s="1"/>
      <c r="I982" s="1"/>
      <c r="J982" s="1"/>
    </row>
    <row r="983" spans="7:10">
      <c r="G983" s="1"/>
      <c r="H983" s="1"/>
      <c r="I983" s="1"/>
      <c r="J983" s="1"/>
    </row>
    <row r="984" spans="7:10">
      <c r="G984" s="1"/>
      <c r="H984" s="1"/>
      <c r="I984" s="1"/>
      <c r="J984" s="1"/>
    </row>
    <row r="985" spans="7:10">
      <c r="G985" s="1"/>
      <c r="H985" s="1"/>
      <c r="I985" s="1"/>
      <c r="J985" s="1"/>
    </row>
    <row r="986" spans="7:10">
      <c r="G986" s="1"/>
      <c r="H986" s="1"/>
      <c r="I986" s="1"/>
      <c r="J986" s="1"/>
    </row>
    <row r="987" spans="7:10">
      <c r="G987" s="1"/>
      <c r="H987" s="1"/>
      <c r="I987" s="1"/>
      <c r="J987" s="1"/>
    </row>
    <row r="988" spans="7:10">
      <c r="G988" s="1"/>
      <c r="H988" s="1"/>
      <c r="I988" s="1"/>
      <c r="J988" s="1"/>
    </row>
    <row r="989" spans="7:10">
      <c r="G989" s="1"/>
      <c r="H989" s="1"/>
      <c r="I989" s="1"/>
      <c r="J989" s="1"/>
    </row>
    <row r="990" spans="7:10">
      <c r="G990" s="1"/>
      <c r="H990" s="1"/>
      <c r="I990" s="1"/>
      <c r="J990" s="1"/>
    </row>
    <row r="991" spans="7:10">
      <c r="G991" s="1"/>
      <c r="H991" s="1"/>
      <c r="I991" s="1"/>
      <c r="J991" s="1"/>
    </row>
    <row r="992" spans="7:10">
      <c r="G992" s="1"/>
      <c r="H992" s="1"/>
      <c r="I992" s="1"/>
      <c r="J992" s="1"/>
    </row>
    <row r="993" spans="7:10">
      <c r="G993" s="1"/>
      <c r="H993" s="1"/>
      <c r="I993" s="1"/>
      <c r="J993" s="1"/>
    </row>
    <row r="994" spans="7:10">
      <c r="G994" s="1"/>
      <c r="H994" s="1"/>
      <c r="I994" s="1"/>
      <c r="J994" s="1"/>
    </row>
    <row r="995" spans="7:10">
      <c r="G995" s="1"/>
      <c r="H995" s="1"/>
      <c r="I995" s="1"/>
      <c r="J995" s="1"/>
    </row>
    <row r="996" spans="7:10">
      <c r="G996" s="1"/>
      <c r="H996" s="1"/>
      <c r="I996" s="1"/>
      <c r="J996" s="1"/>
    </row>
    <row r="997" spans="7:10">
      <c r="G997" s="1"/>
      <c r="H997" s="1"/>
      <c r="I997" s="1"/>
      <c r="J997" s="1"/>
    </row>
    <row r="998" spans="7:10">
      <c r="G998" s="1"/>
      <c r="H998" s="1"/>
      <c r="I998" s="1"/>
      <c r="J998" s="1"/>
    </row>
    <row r="999" spans="7:10">
      <c r="G999" s="1"/>
      <c r="H999" s="1"/>
      <c r="I999" s="1"/>
      <c r="J999" s="1"/>
    </row>
    <row r="1000" spans="7:10">
      <c r="G1000" s="1"/>
      <c r="H1000" s="1"/>
      <c r="I1000" s="1"/>
      <c r="J1000" s="1"/>
    </row>
    <row r="1001" spans="7:10">
      <c r="G1001" s="1"/>
      <c r="H1001" s="1"/>
      <c r="I1001" s="1"/>
      <c r="J1001" s="1"/>
    </row>
    <row r="1002" spans="7:10">
      <c r="G1002" s="1"/>
      <c r="H1002" s="1"/>
      <c r="I1002" s="1"/>
      <c r="J1002" s="1"/>
    </row>
    <row r="1003" spans="7:10">
      <c r="G1003" s="1"/>
      <c r="H1003" s="1"/>
      <c r="I1003" s="1"/>
      <c r="J1003" s="1"/>
    </row>
    <row r="1004" spans="7:10">
      <c r="G1004" s="1"/>
      <c r="H1004" s="1"/>
      <c r="I1004" s="1"/>
      <c r="J1004" s="1"/>
    </row>
    <row r="1005" spans="7:10">
      <c r="G1005" s="1"/>
      <c r="H1005" s="1"/>
      <c r="I1005" s="1"/>
      <c r="J1005" s="1"/>
    </row>
    <row r="1006" spans="7:10">
      <c r="G1006" s="1"/>
      <c r="H1006" s="1"/>
      <c r="I1006" s="1"/>
      <c r="J1006" s="1"/>
    </row>
    <row r="1007" spans="7:10">
      <c r="G1007" s="1"/>
      <c r="H1007" s="1"/>
      <c r="I1007" s="1"/>
      <c r="J1007" s="1"/>
    </row>
    <row r="1008" spans="7:10">
      <c r="G1008" s="1"/>
      <c r="H1008" s="1"/>
      <c r="I1008" s="1"/>
      <c r="J1008" s="1"/>
    </row>
    <row r="1009" spans="7:10">
      <c r="G1009" s="1"/>
      <c r="H1009" s="1"/>
      <c r="I1009" s="1"/>
      <c r="J1009" s="1"/>
    </row>
    <row r="1010" spans="7:10">
      <c r="G1010" s="1"/>
      <c r="H1010" s="1"/>
      <c r="I1010" s="1"/>
      <c r="J1010" s="1"/>
    </row>
    <row r="1011" spans="7:10">
      <c r="G1011" s="1"/>
      <c r="H1011" s="1"/>
      <c r="I1011" s="1"/>
      <c r="J1011" s="1"/>
    </row>
    <row r="1012" spans="7:10">
      <c r="G1012" s="1"/>
      <c r="H1012" s="1"/>
      <c r="I1012" s="1"/>
      <c r="J1012" s="1"/>
    </row>
    <row r="1013" spans="7:10">
      <c r="G1013" s="1"/>
      <c r="H1013" s="1"/>
      <c r="I1013" s="1"/>
      <c r="J1013" s="1"/>
    </row>
    <row r="1014" spans="7:10">
      <c r="G1014" s="1"/>
      <c r="H1014" s="1"/>
      <c r="I1014" s="1"/>
      <c r="J1014" s="1"/>
    </row>
    <row r="1015" spans="7:10">
      <c r="G1015" s="1"/>
      <c r="H1015" s="1"/>
      <c r="I1015" s="1"/>
      <c r="J1015" s="1"/>
    </row>
    <row r="1016" spans="7:10">
      <c r="G1016" s="1"/>
      <c r="H1016" s="1"/>
      <c r="I1016" s="1"/>
      <c r="J1016" s="1"/>
    </row>
    <row r="1017" spans="7:10">
      <c r="G1017" s="1"/>
      <c r="H1017" s="1"/>
      <c r="I1017" s="1"/>
      <c r="J1017" s="1"/>
    </row>
    <row r="1018" spans="7:10">
      <c r="G1018" s="1"/>
      <c r="H1018" s="1"/>
      <c r="I1018" s="1"/>
      <c r="J1018" s="1"/>
    </row>
    <row r="1019" spans="7:10">
      <c r="G1019" s="1"/>
      <c r="H1019" s="1"/>
      <c r="I1019" s="1"/>
      <c r="J1019" s="1"/>
    </row>
    <row r="1020" spans="7:10">
      <c r="G1020" s="1"/>
      <c r="H1020" s="1"/>
      <c r="I1020" s="1"/>
      <c r="J1020" s="1"/>
    </row>
    <row r="1021" spans="7:10">
      <c r="G1021" s="1"/>
      <c r="H1021" s="1"/>
      <c r="I1021" s="1"/>
      <c r="J1021" s="1"/>
    </row>
    <row r="1022" spans="7:10">
      <c r="G1022" s="1"/>
      <c r="H1022" s="1"/>
      <c r="I1022" s="1"/>
      <c r="J1022" s="1"/>
    </row>
    <row r="1023" spans="7:10">
      <c r="G1023" s="1"/>
      <c r="H1023" s="1"/>
      <c r="I1023" s="1"/>
      <c r="J1023" s="1"/>
    </row>
    <row r="1024" spans="7:10">
      <c r="G1024" s="1"/>
      <c r="H1024" s="1"/>
      <c r="I1024" s="1"/>
      <c r="J1024" s="1"/>
    </row>
    <row r="1025" spans="7:10">
      <c r="G1025" s="1"/>
      <c r="H1025" s="1"/>
      <c r="I1025" s="1"/>
      <c r="J1025" s="1"/>
    </row>
    <row r="1026" spans="7:10">
      <c r="G1026" s="1"/>
      <c r="H1026" s="1"/>
      <c r="I1026" s="1"/>
      <c r="J1026" s="1"/>
    </row>
    <row r="1027" spans="7:10">
      <c r="G1027" s="1"/>
      <c r="H1027" s="1"/>
      <c r="I1027" s="1"/>
      <c r="J1027" s="1"/>
    </row>
    <row r="1028" spans="7:10">
      <c r="G1028" s="1"/>
      <c r="H1028" s="1"/>
      <c r="I1028" s="1"/>
      <c r="J1028" s="1"/>
    </row>
    <row r="1029" spans="7:10">
      <c r="G1029" s="1"/>
      <c r="H1029" s="1"/>
      <c r="I1029" s="1"/>
      <c r="J1029" s="1"/>
    </row>
    <row r="1030" spans="7:10">
      <c r="G1030" s="1"/>
      <c r="H1030" s="1"/>
      <c r="I1030" s="1"/>
      <c r="J1030" s="1"/>
    </row>
    <row r="1031" spans="7:10">
      <c r="G1031" s="1"/>
      <c r="H1031" s="1"/>
      <c r="I1031" s="1"/>
      <c r="J1031" s="1"/>
    </row>
    <row r="1032" spans="7:10">
      <c r="G1032" s="1"/>
      <c r="H1032" s="1"/>
      <c r="I1032" s="1"/>
      <c r="J1032" s="1"/>
    </row>
    <row r="1033" spans="7:10">
      <c r="G1033" s="1"/>
      <c r="H1033" s="1"/>
      <c r="I1033" s="1"/>
      <c r="J1033" s="1"/>
    </row>
    <row r="1034" spans="7:10">
      <c r="G1034" s="1"/>
      <c r="H1034" s="1"/>
      <c r="I1034" s="1"/>
      <c r="J1034" s="1"/>
    </row>
    <row r="1035" spans="7:10">
      <c r="G1035" s="1"/>
      <c r="H1035" s="1"/>
      <c r="I1035" s="1"/>
      <c r="J1035" s="1"/>
    </row>
    <row r="1036" spans="7:10">
      <c r="G1036" s="1"/>
      <c r="H1036" s="1"/>
      <c r="I1036" s="1"/>
      <c r="J1036" s="1"/>
    </row>
    <row r="1037" spans="7:10">
      <c r="G1037" s="1"/>
      <c r="H1037" s="1"/>
      <c r="I1037" s="1"/>
      <c r="J1037" s="1"/>
    </row>
    <row r="1038" spans="7:10">
      <c r="G1038" s="1"/>
      <c r="H1038" s="1"/>
      <c r="I1038" s="1"/>
      <c r="J1038" s="1"/>
    </row>
    <row r="1039" spans="7:10">
      <c r="G1039" s="1"/>
      <c r="H1039" s="1"/>
      <c r="I1039" s="1"/>
      <c r="J1039" s="1"/>
    </row>
    <row r="1040" spans="7:10">
      <c r="G1040" s="1"/>
      <c r="H1040" s="1"/>
      <c r="I1040" s="1"/>
      <c r="J1040" s="1"/>
    </row>
    <row r="1041" spans="7:10">
      <c r="G1041" s="1"/>
      <c r="H1041" s="1"/>
      <c r="I1041" s="1"/>
      <c r="J1041" s="1"/>
    </row>
    <row r="1042" spans="7:10">
      <c r="G1042" s="1"/>
      <c r="H1042" s="1"/>
      <c r="I1042" s="1"/>
      <c r="J1042" s="1"/>
    </row>
    <row r="1043" spans="7:10">
      <c r="G1043" s="1"/>
      <c r="H1043" s="1"/>
      <c r="I1043" s="1"/>
      <c r="J1043" s="1"/>
    </row>
    <row r="1044" spans="7:10">
      <c r="G1044" s="1"/>
      <c r="H1044" s="1"/>
      <c r="I1044" s="1"/>
      <c r="J1044" s="1"/>
    </row>
    <row r="1045" spans="7:10">
      <c r="G1045" s="1"/>
      <c r="H1045" s="1"/>
      <c r="I1045" s="1"/>
      <c r="J1045" s="1"/>
    </row>
    <row r="1046" spans="7:10">
      <c r="G1046" s="1"/>
      <c r="H1046" s="1"/>
      <c r="I1046" s="1"/>
      <c r="J1046" s="1"/>
    </row>
    <row r="1047" spans="7:10">
      <c r="G1047" s="1"/>
      <c r="H1047" s="1"/>
      <c r="I1047" s="1"/>
      <c r="J1047" s="1"/>
    </row>
    <row r="1048" spans="7:10">
      <c r="G1048" s="1"/>
      <c r="H1048" s="1"/>
      <c r="I1048" s="1"/>
      <c r="J1048" s="1"/>
    </row>
    <row r="1049" spans="7:10">
      <c r="G1049" s="1"/>
      <c r="H1049" s="1"/>
      <c r="I1049" s="1"/>
      <c r="J1049" s="1"/>
    </row>
    <row r="1050" spans="7:10">
      <c r="G1050" s="1"/>
      <c r="H1050" s="1"/>
      <c r="I1050" s="1"/>
      <c r="J1050" s="1"/>
    </row>
    <row r="1051" spans="7:10">
      <c r="G1051" s="1"/>
      <c r="H1051" s="1"/>
      <c r="I1051" s="1"/>
      <c r="J1051" s="1"/>
    </row>
    <row r="1052" spans="7:10">
      <c r="G1052" s="1"/>
      <c r="H1052" s="1"/>
      <c r="I1052" s="1"/>
      <c r="J1052" s="1"/>
    </row>
    <row r="1053" spans="7:10">
      <c r="G1053" s="1"/>
      <c r="H1053" s="1"/>
      <c r="I1053" s="1"/>
      <c r="J1053" s="1"/>
    </row>
    <row r="1054" spans="7:10">
      <c r="G1054" s="1"/>
      <c r="H1054" s="1"/>
      <c r="I1054" s="1"/>
      <c r="J1054" s="1"/>
    </row>
    <row r="1055" spans="7:10">
      <c r="G1055" s="1"/>
      <c r="H1055" s="1"/>
      <c r="I1055" s="1"/>
      <c r="J1055" s="1"/>
    </row>
    <row r="1056" spans="7:10">
      <c r="G1056" s="1"/>
      <c r="H1056" s="1"/>
      <c r="I1056" s="1"/>
      <c r="J1056" s="1"/>
    </row>
    <row r="1057" spans="7:10">
      <c r="G1057" s="1"/>
      <c r="H1057" s="1"/>
      <c r="I1057" s="1"/>
      <c r="J1057" s="1"/>
    </row>
    <row r="1058" spans="7:10">
      <c r="G1058" s="1"/>
      <c r="H1058" s="1"/>
      <c r="I1058" s="1"/>
      <c r="J1058" s="1"/>
    </row>
    <row r="1059" spans="7:10">
      <c r="G1059" s="1"/>
      <c r="H1059" s="1"/>
      <c r="I1059" s="1"/>
      <c r="J1059" s="1"/>
    </row>
    <row r="1060" spans="7:10">
      <c r="G1060" s="1"/>
      <c r="H1060" s="1"/>
      <c r="I1060" s="1"/>
      <c r="J1060" s="1"/>
    </row>
    <row r="1061" spans="7:10">
      <c r="G1061" s="1"/>
      <c r="H1061" s="1"/>
      <c r="I1061" s="1"/>
      <c r="J1061" s="1"/>
    </row>
    <row r="1062" spans="7:10">
      <c r="G1062" s="1"/>
      <c r="H1062" s="1"/>
      <c r="I1062" s="1"/>
      <c r="J1062" s="1"/>
    </row>
    <row r="1063" spans="7:10">
      <c r="G1063" s="1"/>
      <c r="H1063" s="1"/>
      <c r="I1063" s="1"/>
      <c r="J1063" s="1"/>
    </row>
    <row r="1064" spans="7:10">
      <c r="G1064" s="1"/>
      <c r="H1064" s="1"/>
      <c r="I1064" s="1"/>
      <c r="J1064" s="1"/>
    </row>
    <row r="1065" spans="7:10">
      <c r="G1065" s="1"/>
      <c r="H1065" s="1"/>
      <c r="I1065" s="1"/>
      <c r="J1065" s="1"/>
    </row>
    <row r="1066" spans="7:10">
      <c r="G1066" s="1"/>
      <c r="H1066" s="1"/>
      <c r="I1066" s="1"/>
      <c r="J1066" s="1"/>
    </row>
    <row r="1067" spans="7:10">
      <c r="G1067" s="1"/>
      <c r="H1067" s="1"/>
      <c r="I1067" s="1"/>
      <c r="J1067" s="1"/>
    </row>
    <row r="1068" spans="7:10">
      <c r="G1068" s="1"/>
      <c r="H1068" s="1"/>
      <c r="I1068" s="1"/>
      <c r="J1068" s="1"/>
    </row>
    <row r="1069" spans="7:10">
      <c r="G1069" s="1"/>
      <c r="H1069" s="1"/>
      <c r="I1069" s="1"/>
      <c r="J1069" s="1"/>
    </row>
    <row r="1070" spans="7:10">
      <c r="G1070" s="1"/>
      <c r="H1070" s="1"/>
      <c r="I1070" s="1"/>
      <c r="J1070" s="1"/>
    </row>
    <row r="1071" spans="7:10">
      <c r="G1071" s="1"/>
      <c r="H1071" s="1"/>
      <c r="I1071" s="1"/>
      <c r="J1071" s="1"/>
    </row>
    <row r="1072" spans="7:10">
      <c r="G1072" s="1"/>
      <c r="H1072" s="1"/>
      <c r="I1072" s="1"/>
      <c r="J1072" s="1"/>
    </row>
    <row r="1073" spans="7:10">
      <c r="G1073" s="1"/>
      <c r="H1073" s="1"/>
      <c r="I1073" s="1"/>
      <c r="J1073" s="1"/>
    </row>
    <row r="1074" spans="7:10">
      <c r="G1074" s="1"/>
      <c r="H1074" s="1"/>
      <c r="I1074" s="1"/>
      <c r="J1074" s="1"/>
    </row>
    <row r="1075" spans="7:10">
      <c r="G1075" s="1"/>
      <c r="H1075" s="1"/>
      <c r="I1075" s="1"/>
      <c r="J1075" s="1"/>
    </row>
    <row r="1076" spans="7:10">
      <c r="G1076" s="1"/>
      <c r="H1076" s="1"/>
      <c r="I1076" s="1"/>
      <c r="J1076" s="1"/>
    </row>
    <row r="1077" spans="7:10">
      <c r="G1077" s="1"/>
      <c r="H1077" s="1"/>
      <c r="I1077" s="1"/>
      <c r="J1077" s="1"/>
    </row>
    <row r="1078" spans="7:10">
      <c r="G1078" s="1"/>
      <c r="H1078" s="1"/>
      <c r="I1078" s="1"/>
      <c r="J1078" s="1"/>
    </row>
    <row r="1079" spans="7:10">
      <c r="G1079" s="1"/>
      <c r="H1079" s="1"/>
      <c r="I1079" s="1"/>
      <c r="J1079" s="1"/>
    </row>
    <row r="1080" spans="7:10">
      <c r="G1080" s="1"/>
      <c r="H1080" s="1"/>
      <c r="I1080" s="1"/>
      <c r="J1080" s="1"/>
    </row>
    <row r="1081" spans="7:10">
      <c r="G1081" s="1"/>
      <c r="H1081" s="1"/>
      <c r="I1081" s="1"/>
      <c r="J1081" s="1"/>
    </row>
    <row r="1082" spans="7:10">
      <c r="G1082" s="1"/>
      <c r="H1082" s="1"/>
      <c r="I1082" s="1"/>
      <c r="J1082" s="1"/>
    </row>
    <row r="1083" spans="7:10">
      <c r="G1083" s="1"/>
      <c r="H1083" s="1"/>
      <c r="I1083" s="1"/>
      <c r="J1083" s="1"/>
    </row>
    <row r="1084" spans="7:10">
      <c r="G1084" s="1"/>
      <c r="H1084" s="1"/>
      <c r="I1084" s="1"/>
      <c r="J1084" s="1"/>
    </row>
    <row r="1085" spans="7:10">
      <c r="G1085" s="1"/>
      <c r="H1085" s="1"/>
      <c r="I1085" s="1"/>
      <c r="J1085" s="1"/>
    </row>
    <row r="1086" spans="7:10">
      <c r="G1086" s="1"/>
      <c r="H1086" s="1"/>
      <c r="I1086" s="1"/>
      <c r="J1086" s="1"/>
    </row>
    <row r="1087" spans="7:10">
      <c r="G1087" s="1"/>
      <c r="H1087" s="1"/>
      <c r="I1087" s="1"/>
      <c r="J1087" s="1"/>
    </row>
    <row r="1088" spans="7:10">
      <c r="G1088" s="1"/>
      <c r="H1088" s="1"/>
      <c r="I1088" s="1"/>
      <c r="J1088" s="1"/>
    </row>
    <row r="1089" spans="7:10">
      <c r="G1089" s="1"/>
      <c r="H1089" s="1"/>
      <c r="I1089" s="1"/>
      <c r="J1089" s="1"/>
    </row>
    <row r="1090" spans="7:10">
      <c r="G1090" s="1"/>
      <c r="H1090" s="1"/>
      <c r="I1090" s="1"/>
      <c r="J1090" s="1"/>
    </row>
    <row r="1091" spans="7:10">
      <c r="G1091" s="1"/>
      <c r="H1091" s="1"/>
      <c r="I1091" s="1"/>
      <c r="J1091" s="1"/>
    </row>
    <row r="1092" spans="7:10">
      <c r="G1092" s="1"/>
      <c r="H1092" s="1"/>
      <c r="I1092" s="1"/>
      <c r="J1092" s="1"/>
    </row>
    <row r="1093" spans="7:10">
      <c r="G1093" s="1"/>
      <c r="H1093" s="1"/>
      <c r="I1093" s="1"/>
      <c r="J1093" s="1"/>
    </row>
    <row r="1094" spans="7:10">
      <c r="G1094" s="1"/>
      <c r="H1094" s="1"/>
      <c r="I1094" s="1"/>
      <c r="J1094" s="1"/>
    </row>
    <row r="1095" spans="7:10">
      <c r="G1095" s="1"/>
      <c r="H1095" s="1"/>
      <c r="I1095" s="1"/>
      <c r="J1095" s="1"/>
    </row>
    <row r="1096" spans="7:10">
      <c r="G1096" s="1"/>
      <c r="H1096" s="1"/>
      <c r="I1096" s="1"/>
      <c r="J1096" s="1"/>
    </row>
    <row r="1097" spans="7:10">
      <c r="G1097" s="1"/>
      <c r="H1097" s="1"/>
      <c r="I1097" s="1"/>
      <c r="J1097" s="1"/>
    </row>
    <row r="1098" spans="7:10">
      <c r="G1098" s="1"/>
      <c r="H1098" s="1"/>
      <c r="I1098" s="1"/>
      <c r="J1098" s="1"/>
    </row>
    <row r="1099" spans="7:10">
      <c r="G1099" s="1"/>
      <c r="H1099" s="1"/>
      <c r="I1099" s="1"/>
      <c r="J1099" s="1"/>
    </row>
    <row r="1100" spans="7:10">
      <c r="G1100" s="1"/>
      <c r="H1100" s="1"/>
      <c r="I1100" s="1"/>
      <c r="J1100" s="1"/>
    </row>
    <row r="1101" spans="7:10">
      <c r="G1101" s="1"/>
      <c r="H1101" s="1"/>
      <c r="I1101" s="1"/>
      <c r="J1101" s="1"/>
    </row>
    <row r="1102" spans="7:10">
      <c r="G1102" s="1"/>
      <c r="H1102" s="1"/>
      <c r="I1102" s="1"/>
      <c r="J1102" s="1"/>
    </row>
    <row r="1103" spans="7:10">
      <c r="G1103" s="1"/>
      <c r="H1103" s="1"/>
      <c r="I1103" s="1"/>
      <c r="J1103" s="1"/>
    </row>
    <row r="1104" spans="7:10">
      <c r="G1104" s="1"/>
      <c r="H1104" s="1"/>
      <c r="I1104" s="1"/>
      <c r="J1104" s="1"/>
    </row>
    <row r="1105" spans="7:10">
      <c r="G1105" s="1"/>
      <c r="H1105" s="1"/>
      <c r="I1105" s="1"/>
      <c r="J1105" s="1"/>
    </row>
    <row r="1106" spans="7:10">
      <c r="G1106" s="1"/>
      <c r="H1106" s="1"/>
      <c r="I1106" s="1"/>
      <c r="J1106" s="1"/>
    </row>
    <row r="1107" spans="7:10">
      <c r="G1107" s="1"/>
      <c r="H1107" s="1"/>
      <c r="I1107" s="1"/>
      <c r="J1107" s="1"/>
    </row>
    <row r="1108" spans="7:10">
      <c r="G1108" s="1"/>
      <c r="H1108" s="1"/>
      <c r="I1108" s="1"/>
      <c r="J1108" s="1"/>
    </row>
    <row r="1109" spans="7:10">
      <c r="G1109" s="1"/>
      <c r="H1109" s="1"/>
      <c r="I1109" s="1"/>
      <c r="J1109" s="1"/>
    </row>
    <row r="1110" spans="7:10">
      <c r="G1110" s="1"/>
      <c r="H1110" s="1"/>
      <c r="I1110" s="1"/>
      <c r="J1110" s="1"/>
    </row>
    <row r="1111" spans="7:10">
      <c r="G1111" s="1"/>
      <c r="H1111" s="1"/>
      <c r="I1111" s="1"/>
      <c r="J1111" s="1"/>
    </row>
    <row r="1112" spans="7:10">
      <c r="G1112" s="1"/>
      <c r="H1112" s="1"/>
      <c r="I1112" s="1"/>
      <c r="J1112" s="1"/>
    </row>
    <row r="1113" spans="7:10">
      <c r="G1113" s="1"/>
      <c r="H1113" s="1"/>
      <c r="I1113" s="1"/>
      <c r="J1113" s="1"/>
    </row>
    <row r="1114" spans="7:10">
      <c r="G1114" s="1"/>
      <c r="H1114" s="1"/>
      <c r="I1114" s="1"/>
      <c r="J1114" s="1"/>
    </row>
    <row r="1115" spans="7:10">
      <c r="G1115" s="1"/>
      <c r="H1115" s="1"/>
      <c r="I1115" s="1"/>
      <c r="J1115" s="1"/>
    </row>
    <row r="1116" spans="7:10">
      <c r="G1116" s="1"/>
      <c r="H1116" s="1"/>
      <c r="I1116" s="1"/>
      <c r="J1116" s="1"/>
    </row>
    <row r="1117" spans="7:10">
      <c r="G1117" s="1"/>
      <c r="H1117" s="1"/>
      <c r="I1117" s="1"/>
      <c r="J1117" s="1"/>
    </row>
    <row r="1118" spans="7:10">
      <c r="G1118" s="1"/>
      <c r="H1118" s="1"/>
      <c r="I1118" s="1"/>
      <c r="J1118" s="1"/>
    </row>
    <row r="1119" spans="7:10">
      <c r="G1119" s="1"/>
      <c r="H1119" s="1"/>
      <c r="I1119" s="1"/>
      <c r="J1119" s="1"/>
    </row>
    <row r="1120" spans="7:10">
      <c r="G1120" s="1"/>
      <c r="H1120" s="1"/>
      <c r="I1120" s="1"/>
      <c r="J1120" s="1"/>
    </row>
    <row r="1121" spans="7:10">
      <c r="G1121" s="1"/>
      <c r="H1121" s="1"/>
      <c r="I1121" s="1"/>
      <c r="J1121" s="1"/>
    </row>
    <row r="1122" spans="7:10">
      <c r="G1122" s="1"/>
      <c r="H1122" s="1"/>
      <c r="I1122" s="1"/>
      <c r="J1122" s="1"/>
    </row>
    <row r="1123" spans="7:10">
      <c r="G1123" s="1"/>
      <c r="H1123" s="1"/>
      <c r="I1123" s="1"/>
      <c r="J1123" s="1"/>
    </row>
    <row r="1124" spans="7:10">
      <c r="G1124" s="1"/>
      <c r="H1124" s="1"/>
      <c r="I1124" s="1"/>
      <c r="J1124" s="1"/>
    </row>
    <row r="1125" spans="7:10">
      <c r="G1125" s="1"/>
      <c r="H1125" s="1"/>
      <c r="I1125" s="1"/>
      <c r="J1125" s="1"/>
    </row>
    <row r="1126" spans="7:10">
      <c r="G1126" s="1"/>
      <c r="H1126" s="1"/>
      <c r="I1126" s="1"/>
      <c r="J1126" s="1"/>
    </row>
    <row r="1127" spans="7:10">
      <c r="G1127" s="1"/>
      <c r="H1127" s="1"/>
      <c r="I1127" s="1"/>
      <c r="J1127" s="1"/>
    </row>
    <row r="1128" spans="7:10">
      <c r="G1128" s="1"/>
      <c r="H1128" s="1"/>
      <c r="I1128" s="1"/>
      <c r="J1128" s="1"/>
    </row>
    <row r="1129" spans="7:10">
      <c r="G1129" s="1"/>
      <c r="H1129" s="1"/>
      <c r="I1129" s="1"/>
      <c r="J1129" s="1"/>
    </row>
    <row r="1130" spans="7:10">
      <c r="G1130" s="1"/>
      <c r="H1130" s="1"/>
      <c r="I1130" s="1"/>
      <c r="J1130" s="1"/>
    </row>
    <row r="1131" spans="7:10">
      <c r="G1131" s="1"/>
      <c r="H1131" s="1"/>
      <c r="I1131" s="1"/>
      <c r="J1131" s="1"/>
    </row>
    <row r="1132" spans="7:10">
      <c r="G1132" s="1"/>
      <c r="H1132" s="1"/>
      <c r="I1132" s="1"/>
      <c r="J1132" s="1"/>
    </row>
    <row r="1133" spans="7:10">
      <c r="G1133" s="1"/>
      <c r="H1133" s="1"/>
      <c r="I1133" s="1"/>
      <c r="J1133" s="1"/>
    </row>
    <row r="1134" spans="7:10">
      <c r="G1134" s="1"/>
      <c r="H1134" s="1"/>
      <c r="I1134" s="1"/>
      <c r="J1134" s="1"/>
    </row>
    <row r="1135" spans="7:10">
      <c r="G1135" s="1"/>
      <c r="H1135" s="1"/>
      <c r="I1135" s="1"/>
      <c r="J1135" s="1"/>
    </row>
    <row r="1136" spans="7:10">
      <c r="G1136" s="1"/>
      <c r="H1136" s="1"/>
      <c r="I1136" s="1"/>
      <c r="J1136" s="1"/>
    </row>
    <row r="1137" spans="7:10">
      <c r="G1137" s="1"/>
      <c r="H1137" s="1"/>
      <c r="I1137" s="1"/>
      <c r="J1137" s="1"/>
    </row>
    <row r="1138" spans="7:10">
      <c r="G1138" s="1"/>
      <c r="H1138" s="1"/>
      <c r="I1138" s="1"/>
      <c r="J1138" s="1"/>
    </row>
    <row r="1139" spans="7:10">
      <c r="G1139" s="1"/>
      <c r="H1139" s="1"/>
      <c r="I1139" s="1"/>
      <c r="J1139" s="1"/>
    </row>
    <row r="1140" spans="7:10">
      <c r="G1140" s="1"/>
      <c r="H1140" s="1"/>
      <c r="I1140" s="1"/>
      <c r="J1140" s="1"/>
    </row>
    <row r="1141" spans="7:10">
      <c r="G1141" s="1"/>
      <c r="H1141" s="1"/>
      <c r="I1141" s="1"/>
      <c r="J1141" s="1"/>
    </row>
    <row r="1142" spans="7:10">
      <c r="G1142" s="1"/>
      <c r="H1142" s="1"/>
      <c r="I1142" s="1"/>
      <c r="J1142" s="1"/>
    </row>
    <row r="1143" spans="7:10">
      <c r="G1143" s="1"/>
      <c r="H1143" s="1"/>
      <c r="I1143" s="1"/>
      <c r="J1143" s="1"/>
    </row>
    <row r="1144" spans="7:10">
      <c r="G1144" s="1"/>
      <c r="H1144" s="1"/>
      <c r="I1144" s="1"/>
      <c r="J1144" s="1"/>
    </row>
    <row r="1145" spans="7:10">
      <c r="G1145" s="1"/>
      <c r="H1145" s="1"/>
      <c r="I1145" s="1"/>
      <c r="J1145" s="1"/>
    </row>
    <row r="1146" spans="7:10">
      <c r="G1146" s="1"/>
      <c r="H1146" s="1"/>
      <c r="I1146" s="1"/>
      <c r="J1146" s="1"/>
    </row>
    <row r="1147" spans="7:10">
      <c r="G1147" s="1"/>
      <c r="H1147" s="1"/>
      <c r="I1147" s="1"/>
      <c r="J1147" s="1"/>
    </row>
    <row r="1148" spans="7:10">
      <c r="G1148" s="1"/>
      <c r="H1148" s="1"/>
      <c r="I1148" s="1"/>
      <c r="J1148" s="1"/>
    </row>
    <row r="1149" spans="7:10">
      <c r="G1149" s="1"/>
      <c r="H1149" s="1"/>
      <c r="I1149" s="1"/>
      <c r="J1149" s="1"/>
    </row>
    <row r="1150" spans="7:10">
      <c r="G1150" s="1"/>
      <c r="H1150" s="1"/>
      <c r="I1150" s="1"/>
      <c r="J1150" s="1"/>
    </row>
    <row r="1151" spans="7:10">
      <c r="G1151" s="1"/>
      <c r="H1151" s="1"/>
      <c r="I1151" s="1"/>
      <c r="J1151" s="1"/>
    </row>
    <row r="1152" spans="7:10">
      <c r="G1152" s="1"/>
      <c r="H1152" s="1"/>
      <c r="I1152" s="1"/>
      <c r="J1152" s="1"/>
    </row>
    <row r="1153" spans="7:10">
      <c r="G1153" s="1"/>
      <c r="H1153" s="1"/>
      <c r="I1153" s="1"/>
      <c r="J1153" s="1"/>
    </row>
    <row r="1154" spans="7:10">
      <c r="G1154" s="1"/>
      <c r="H1154" s="1"/>
      <c r="I1154" s="1"/>
      <c r="J1154" s="1"/>
    </row>
    <row r="1155" spans="7:10">
      <c r="G1155" s="1"/>
      <c r="H1155" s="1"/>
      <c r="I1155" s="1"/>
      <c r="J1155" s="1"/>
    </row>
    <row r="1156" spans="7:10">
      <c r="G1156" s="1"/>
      <c r="H1156" s="1"/>
      <c r="I1156" s="1"/>
      <c r="J1156" s="1"/>
    </row>
    <row r="1157" spans="7:10">
      <c r="G1157" s="1"/>
      <c r="H1157" s="1"/>
      <c r="I1157" s="1"/>
      <c r="J1157" s="1"/>
    </row>
    <row r="1158" spans="7:10">
      <c r="G1158" s="1"/>
      <c r="H1158" s="1"/>
      <c r="I1158" s="1"/>
      <c r="J1158" s="1"/>
    </row>
    <row r="1159" spans="7:10">
      <c r="G1159" s="1"/>
      <c r="H1159" s="1"/>
      <c r="I1159" s="1"/>
      <c r="J1159" s="1"/>
    </row>
    <row r="1160" spans="7:10">
      <c r="G1160" s="1"/>
      <c r="H1160" s="1"/>
      <c r="I1160" s="1"/>
      <c r="J1160" s="1"/>
    </row>
    <row r="1161" spans="7:10">
      <c r="G1161" s="1"/>
      <c r="H1161" s="1"/>
      <c r="I1161" s="1"/>
      <c r="J1161" s="1"/>
    </row>
    <row r="1162" spans="7:10">
      <c r="G1162" s="1"/>
      <c r="H1162" s="1"/>
      <c r="I1162" s="1"/>
      <c r="J1162" s="1"/>
    </row>
    <row r="1163" spans="7:10">
      <c r="G1163" s="1"/>
      <c r="H1163" s="1"/>
      <c r="I1163" s="1"/>
      <c r="J1163" s="1"/>
    </row>
    <row r="1164" spans="7:10">
      <c r="G1164" s="1"/>
      <c r="H1164" s="1"/>
      <c r="I1164" s="1"/>
      <c r="J1164" s="1"/>
    </row>
    <row r="1165" spans="7:10">
      <c r="G1165" s="1"/>
      <c r="H1165" s="1"/>
      <c r="I1165" s="1"/>
      <c r="J1165" s="1"/>
    </row>
    <row r="1166" spans="7:10">
      <c r="G1166" s="1"/>
      <c r="H1166" s="1"/>
      <c r="I1166" s="1"/>
      <c r="J1166" s="1"/>
    </row>
    <row r="1167" spans="7:10">
      <c r="G1167" s="1"/>
      <c r="H1167" s="1"/>
      <c r="I1167" s="1"/>
      <c r="J1167" s="1"/>
    </row>
    <row r="1168" spans="7:10">
      <c r="G1168" s="1"/>
      <c r="H1168" s="1"/>
      <c r="I1168" s="1"/>
      <c r="J1168" s="1"/>
    </row>
    <row r="1169" spans="7:10">
      <c r="G1169" s="1"/>
      <c r="H1169" s="1"/>
      <c r="I1169" s="1"/>
      <c r="J1169" s="1"/>
    </row>
    <row r="1170" spans="7:10">
      <c r="G1170" s="1"/>
      <c r="H1170" s="1"/>
      <c r="I1170" s="1"/>
      <c r="J1170" s="1"/>
    </row>
    <row r="1171" spans="7:10">
      <c r="G1171" s="1"/>
      <c r="H1171" s="1"/>
      <c r="I1171" s="1"/>
      <c r="J1171" s="1"/>
    </row>
    <row r="1172" spans="7:10">
      <c r="G1172" s="1"/>
      <c r="H1172" s="1"/>
      <c r="I1172" s="1"/>
      <c r="J1172" s="1"/>
    </row>
    <row r="1173" spans="7:10">
      <c r="G1173" s="1"/>
      <c r="H1173" s="1"/>
      <c r="I1173" s="1"/>
      <c r="J1173" s="1"/>
    </row>
    <row r="1174" spans="7:10">
      <c r="G1174" s="1"/>
      <c r="H1174" s="1"/>
      <c r="I1174" s="1"/>
      <c r="J1174" s="1"/>
    </row>
    <row r="1175" spans="7:10">
      <c r="G1175" s="1"/>
      <c r="H1175" s="1"/>
      <c r="I1175" s="1"/>
      <c r="J1175" s="1"/>
    </row>
    <row r="1176" spans="7:10">
      <c r="G1176" s="1"/>
      <c r="H1176" s="1"/>
      <c r="I1176" s="1"/>
      <c r="J1176" s="1"/>
    </row>
    <row r="1177" spans="7:10">
      <c r="G1177" s="1"/>
      <c r="H1177" s="1"/>
      <c r="I1177" s="1"/>
      <c r="J1177" s="1"/>
    </row>
    <row r="1178" spans="7:10">
      <c r="G1178" s="1"/>
      <c r="H1178" s="1"/>
      <c r="I1178" s="1"/>
      <c r="J1178" s="1"/>
    </row>
    <row r="1179" spans="7:10">
      <c r="G1179" s="1"/>
      <c r="H1179" s="1"/>
      <c r="I1179" s="1"/>
      <c r="J1179" s="1"/>
    </row>
    <row r="1180" spans="7:10">
      <c r="G1180" s="1"/>
      <c r="H1180" s="1"/>
      <c r="I1180" s="1"/>
      <c r="J1180" s="1"/>
    </row>
    <row r="1181" spans="7:10">
      <c r="G1181" s="1"/>
      <c r="H1181" s="1"/>
      <c r="I1181" s="1"/>
      <c r="J1181" s="1"/>
    </row>
    <row r="1182" spans="7:10">
      <c r="G1182" s="1"/>
      <c r="H1182" s="1"/>
      <c r="I1182" s="1"/>
      <c r="J1182" s="1"/>
    </row>
    <row r="1183" spans="7:10">
      <c r="G1183" s="1"/>
      <c r="H1183" s="1"/>
      <c r="I1183" s="1"/>
      <c r="J1183" s="1"/>
    </row>
    <row r="1184" spans="7:10">
      <c r="G1184" s="1"/>
      <c r="H1184" s="1"/>
      <c r="I1184" s="1"/>
      <c r="J1184" s="1"/>
    </row>
    <row r="1185" spans="7:10">
      <c r="G1185" s="1"/>
      <c r="H1185" s="1"/>
      <c r="I1185" s="1"/>
      <c r="J1185" s="1"/>
    </row>
    <row r="1186" spans="7:10">
      <c r="G1186" s="1"/>
      <c r="H1186" s="1"/>
      <c r="I1186" s="1"/>
      <c r="J1186" s="1"/>
    </row>
    <row r="1187" spans="7:10">
      <c r="G1187" s="1"/>
      <c r="H1187" s="1"/>
      <c r="I1187" s="1"/>
      <c r="J1187" s="1"/>
    </row>
    <row r="1188" spans="7:10">
      <c r="G1188" s="1"/>
      <c r="H1188" s="1"/>
      <c r="I1188" s="1"/>
      <c r="J1188" s="1"/>
    </row>
    <row r="1189" spans="7:10">
      <c r="G1189" s="1"/>
      <c r="H1189" s="1"/>
      <c r="I1189" s="1"/>
      <c r="J1189" s="1"/>
    </row>
    <row r="1190" spans="7:10">
      <c r="G1190" s="1"/>
      <c r="H1190" s="1"/>
      <c r="I1190" s="1"/>
      <c r="J1190" s="1"/>
    </row>
    <row r="1191" spans="7:10">
      <c r="G1191" s="1"/>
      <c r="H1191" s="1"/>
      <c r="I1191" s="1"/>
      <c r="J1191" s="1"/>
    </row>
    <row r="1192" spans="7:10">
      <c r="G1192" s="1"/>
      <c r="H1192" s="1"/>
      <c r="I1192" s="1"/>
      <c r="J1192" s="1"/>
    </row>
    <row r="1193" spans="7:10">
      <c r="G1193" s="1"/>
      <c r="H1193" s="1"/>
      <c r="I1193" s="1"/>
      <c r="J1193" s="1"/>
    </row>
    <row r="1194" spans="7:10">
      <c r="G1194" s="1"/>
      <c r="H1194" s="1"/>
      <c r="I1194" s="1"/>
      <c r="J1194" s="1"/>
    </row>
    <row r="1195" spans="7:10">
      <c r="G1195" s="1"/>
      <c r="H1195" s="1"/>
      <c r="I1195" s="1"/>
      <c r="J1195" s="1"/>
    </row>
    <row r="1196" spans="7:10">
      <c r="G1196" s="1"/>
      <c r="H1196" s="1"/>
      <c r="I1196" s="1"/>
      <c r="J1196" s="1"/>
    </row>
    <row r="1197" spans="7:10">
      <c r="G1197" s="1"/>
      <c r="H1197" s="1"/>
      <c r="I1197" s="1"/>
      <c r="J1197" s="1"/>
    </row>
    <row r="1198" spans="7:10">
      <c r="G1198" s="1"/>
      <c r="H1198" s="1"/>
      <c r="I1198" s="1"/>
      <c r="J1198" s="1"/>
    </row>
    <row r="1199" spans="7:10">
      <c r="G1199" s="1"/>
      <c r="H1199" s="1"/>
      <c r="I1199" s="1"/>
      <c r="J1199" s="1"/>
    </row>
    <row r="1200" spans="7:10">
      <c r="G1200" s="1"/>
      <c r="H1200" s="1"/>
      <c r="I1200" s="1"/>
      <c r="J1200" s="1"/>
    </row>
    <row r="1201" spans="7:10">
      <c r="G1201" s="1"/>
      <c r="H1201" s="1"/>
      <c r="I1201" s="1"/>
      <c r="J1201" s="1"/>
    </row>
    <row r="1202" spans="7:10">
      <c r="G1202" s="1"/>
      <c r="H1202" s="1"/>
      <c r="I1202" s="1"/>
      <c r="J1202" s="1"/>
    </row>
    <row r="1203" spans="7:10">
      <c r="G1203" s="1"/>
      <c r="H1203" s="1"/>
      <c r="I1203" s="1"/>
      <c r="J1203" s="1"/>
    </row>
    <row r="1204" spans="7:10">
      <c r="G1204" s="1"/>
      <c r="H1204" s="1"/>
      <c r="I1204" s="1"/>
      <c r="J1204" s="1"/>
    </row>
    <row r="1205" spans="7:10">
      <c r="G1205" s="1"/>
      <c r="H1205" s="1"/>
      <c r="I1205" s="1"/>
      <c r="J1205" s="1"/>
    </row>
    <row r="1206" spans="7:10">
      <c r="G1206" s="1"/>
      <c r="H1206" s="1"/>
      <c r="I1206" s="1"/>
      <c r="J1206" s="1"/>
    </row>
    <row r="1207" spans="7:10">
      <c r="G1207" s="1"/>
      <c r="H1207" s="1"/>
      <c r="I1207" s="1"/>
      <c r="J1207" s="1"/>
    </row>
    <row r="1208" spans="7:10">
      <c r="G1208" s="1"/>
      <c r="H1208" s="1"/>
      <c r="I1208" s="1"/>
      <c r="J1208" s="1"/>
    </row>
    <row r="1209" spans="7:10">
      <c r="G1209" s="1"/>
      <c r="H1209" s="1"/>
      <c r="I1209" s="1"/>
      <c r="J1209" s="1"/>
    </row>
    <row r="1210" spans="7:10">
      <c r="G1210" s="1"/>
      <c r="H1210" s="1"/>
      <c r="I1210" s="1"/>
      <c r="J1210" s="1"/>
    </row>
    <row r="1211" spans="7:10">
      <c r="G1211" s="1"/>
      <c r="H1211" s="1"/>
      <c r="I1211" s="1"/>
      <c r="J1211" s="1"/>
    </row>
    <row r="1212" spans="7:10">
      <c r="G1212" s="1"/>
      <c r="H1212" s="1"/>
      <c r="I1212" s="1"/>
      <c r="J1212" s="1"/>
    </row>
    <row r="1213" spans="7:10">
      <c r="G1213" s="1"/>
      <c r="H1213" s="1"/>
      <c r="I1213" s="1"/>
      <c r="J1213" s="1"/>
    </row>
    <row r="1214" spans="7:10">
      <c r="G1214" s="1"/>
      <c r="H1214" s="1"/>
      <c r="I1214" s="1"/>
      <c r="J1214" s="1"/>
    </row>
    <row r="1215" spans="7:10">
      <c r="G1215" s="1"/>
      <c r="H1215" s="1"/>
      <c r="I1215" s="1"/>
      <c r="J1215" s="1"/>
    </row>
    <row r="1216" spans="7:10">
      <c r="G1216" s="1"/>
      <c r="H1216" s="1"/>
      <c r="I1216" s="1"/>
      <c r="J1216" s="1"/>
    </row>
    <row r="1217" spans="7:10">
      <c r="G1217" s="1"/>
      <c r="H1217" s="1"/>
      <c r="I1217" s="1"/>
      <c r="J1217" s="1"/>
    </row>
    <row r="1218" spans="7:10">
      <c r="G1218" s="1"/>
      <c r="H1218" s="1"/>
      <c r="I1218" s="1"/>
      <c r="J1218" s="1"/>
    </row>
    <row r="1219" spans="7:10">
      <c r="G1219" s="1"/>
      <c r="H1219" s="1"/>
      <c r="I1219" s="1"/>
      <c r="J1219" s="1"/>
    </row>
    <row r="1220" spans="7:10">
      <c r="G1220" s="1"/>
      <c r="H1220" s="1"/>
      <c r="I1220" s="1"/>
      <c r="J1220" s="1"/>
    </row>
    <row r="1221" spans="7:10">
      <c r="G1221" s="1"/>
      <c r="H1221" s="1"/>
      <c r="I1221" s="1"/>
      <c r="J1221" s="1"/>
    </row>
    <row r="1222" spans="7:10">
      <c r="G1222" s="1"/>
      <c r="H1222" s="1"/>
      <c r="I1222" s="1"/>
      <c r="J1222" s="1"/>
    </row>
    <row r="1223" spans="7:10">
      <c r="G1223" s="1"/>
      <c r="H1223" s="1"/>
      <c r="I1223" s="1"/>
      <c r="J1223" s="1"/>
    </row>
    <row r="1224" spans="7:10">
      <c r="G1224" s="1"/>
      <c r="H1224" s="1"/>
      <c r="I1224" s="1"/>
      <c r="J1224" s="1"/>
    </row>
    <row r="1225" spans="7:10">
      <c r="G1225" s="1"/>
      <c r="H1225" s="1"/>
      <c r="I1225" s="1"/>
      <c r="J1225" s="1"/>
    </row>
    <row r="1226" spans="7:10">
      <c r="G1226" s="1"/>
      <c r="H1226" s="1"/>
      <c r="I1226" s="1"/>
      <c r="J1226" s="1"/>
    </row>
    <row r="1227" spans="7:10">
      <c r="G1227" s="1"/>
      <c r="H1227" s="1"/>
      <c r="I1227" s="1"/>
      <c r="J1227" s="1"/>
    </row>
    <row r="1228" spans="7:10">
      <c r="G1228" s="1"/>
      <c r="H1228" s="1"/>
      <c r="I1228" s="1"/>
      <c r="J1228" s="1"/>
    </row>
    <row r="1229" spans="7:10">
      <c r="G1229" s="1"/>
      <c r="H1229" s="1"/>
      <c r="I1229" s="1"/>
      <c r="J1229" s="1"/>
    </row>
    <row r="1230" spans="7:10">
      <c r="G1230" s="1"/>
      <c r="H1230" s="1"/>
      <c r="I1230" s="1"/>
      <c r="J1230" s="1"/>
    </row>
    <row r="1231" spans="7:10">
      <c r="G1231" s="1"/>
      <c r="H1231" s="1"/>
      <c r="I1231" s="1"/>
      <c r="J1231" s="1"/>
    </row>
    <row r="1232" spans="7:10">
      <c r="G1232" s="1"/>
      <c r="H1232" s="1"/>
      <c r="I1232" s="1"/>
      <c r="J1232" s="1"/>
    </row>
    <row r="1233" spans="7:10">
      <c r="G1233" s="1"/>
      <c r="H1233" s="1"/>
      <c r="I1233" s="1"/>
      <c r="J1233" s="1"/>
    </row>
    <row r="1234" spans="7:10">
      <c r="G1234" s="1"/>
      <c r="H1234" s="1"/>
      <c r="I1234" s="1"/>
      <c r="J1234" s="1"/>
    </row>
    <row r="1235" spans="7:10">
      <c r="G1235" s="1"/>
      <c r="H1235" s="1"/>
      <c r="I1235" s="1"/>
      <c r="J1235" s="1"/>
    </row>
    <row r="1236" spans="7:10">
      <c r="G1236" s="1"/>
      <c r="H1236" s="1"/>
      <c r="I1236" s="1"/>
      <c r="J1236" s="1"/>
    </row>
    <row r="1237" spans="7:10">
      <c r="G1237" s="1"/>
      <c r="H1237" s="1"/>
      <c r="I1237" s="1"/>
      <c r="J1237" s="1"/>
    </row>
    <row r="1238" spans="7:10">
      <c r="G1238" s="1"/>
      <c r="H1238" s="1"/>
      <c r="I1238" s="1"/>
      <c r="J1238" s="1"/>
    </row>
    <row r="1239" spans="7:10">
      <c r="G1239" s="1"/>
      <c r="H1239" s="1"/>
      <c r="I1239" s="1"/>
      <c r="J1239" s="1"/>
    </row>
    <row r="1240" spans="7:10">
      <c r="G1240" s="1"/>
      <c r="H1240" s="1"/>
      <c r="I1240" s="1"/>
      <c r="J1240" s="1"/>
    </row>
    <row r="1241" spans="7:10">
      <c r="G1241" s="1"/>
      <c r="H1241" s="1"/>
      <c r="I1241" s="1"/>
      <c r="J1241" s="1"/>
    </row>
    <row r="1242" spans="7:10">
      <c r="G1242" s="1"/>
      <c r="H1242" s="1"/>
      <c r="I1242" s="1"/>
      <c r="J1242" s="1"/>
    </row>
    <row r="1243" spans="7:10">
      <c r="G1243" s="1"/>
      <c r="H1243" s="1"/>
      <c r="I1243" s="1"/>
      <c r="J1243" s="1"/>
    </row>
    <row r="1244" spans="7:10">
      <c r="G1244" s="1"/>
      <c r="H1244" s="1"/>
      <c r="I1244" s="1"/>
      <c r="J1244" s="1"/>
    </row>
    <row r="1245" spans="7:10">
      <c r="G1245" s="1"/>
      <c r="H1245" s="1"/>
      <c r="I1245" s="1"/>
      <c r="J1245" s="1"/>
    </row>
    <row r="1246" spans="7:10">
      <c r="G1246" s="1"/>
      <c r="H1246" s="1"/>
      <c r="I1246" s="1"/>
      <c r="J1246" s="1"/>
    </row>
    <row r="1247" spans="7:10">
      <c r="G1247" s="1"/>
      <c r="H1247" s="1"/>
      <c r="I1247" s="1"/>
      <c r="J1247" s="1"/>
    </row>
    <row r="1248" spans="7:10">
      <c r="G1248" s="1"/>
      <c r="H1248" s="1"/>
      <c r="I1248" s="1"/>
      <c r="J1248" s="1"/>
    </row>
    <row r="1249" spans="7:10">
      <c r="G1249" s="1"/>
      <c r="H1249" s="1"/>
      <c r="I1249" s="1"/>
      <c r="J1249" s="1"/>
    </row>
    <row r="1250" spans="7:10">
      <c r="G1250" s="1"/>
      <c r="H1250" s="1"/>
      <c r="I1250" s="1"/>
      <c r="J1250" s="1"/>
    </row>
    <row r="1251" spans="7:10">
      <c r="G1251" s="1"/>
      <c r="H1251" s="1"/>
      <c r="I1251" s="1"/>
      <c r="J1251" s="1"/>
    </row>
    <row r="1252" spans="7:10">
      <c r="G1252" s="1"/>
      <c r="H1252" s="1"/>
      <c r="I1252" s="1"/>
      <c r="J1252" s="1"/>
    </row>
    <row r="1253" spans="7:10">
      <c r="G1253" s="1"/>
      <c r="H1253" s="1"/>
      <c r="I1253" s="1"/>
      <c r="J1253" s="1"/>
    </row>
    <row r="1254" spans="7:10">
      <c r="G1254" s="1"/>
      <c r="H1254" s="1"/>
      <c r="I1254" s="1"/>
      <c r="J1254" s="1"/>
    </row>
    <row r="1255" spans="7:10">
      <c r="G1255" s="1"/>
      <c r="H1255" s="1"/>
      <c r="I1255" s="1"/>
      <c r="J1255" s="1"/>
    </row>
    <row r="1256" spans="7:10">
      <c r="G1256" s="1"/>
      <c r="H1256" s="1"/>
      <c r="I1256" s="1"/>
      <c r="J1256" s="1"/>
    </row>
    <row r="1257" spans="7:10">
      <c r="G1257" s="1"/>
      <c r="H1257" s="1"/>
      <c r="I1257" s="1"/>
      <c r="J1257" s="1"/>
    </row>
    <row r="1258" spans="7:10">
      <c r="G1258" s="1"/>
      <c r="H1258" s="1"/>
      <c r="I1258" s="1"/>
      <c r="J1258" s="1"/>
    </row>
    <row r="1259" spans="7:10">
      <c r="G1259" s="1"/>
      <c r="H1259" s="1"/>
      <c r="I1259" s="1"/>
      <c r="J1259" s="1"/>
    </row>
    <row r="1260" spans="7:10">
      <c r="G1260" s="1"/>
      <c r="H1260" s="1"/>
      <c r="I1260" s="1"/>
      <c r="J1260" s="1"/>
    </row>
    <row r="1261" spans="7:10">
      <c r="G1261" s="1"/>
      <c r="H1261" s="1"/>
      <c r="I1261" s="1"/>
      <c r="J1261" s="1"/>
    </row>
    <row r="1262" spans="7:10">
      <c r="G1262" s="1"/>
      <c r="H1262" s="1"/>
      <c r="I1262" s="1"/>
      <c r="J1262" s="1"/>
    </row>
    <row r="1263" spans="7:10">
      <c r="G1263" s="1"/>
      <c r="H1263" s="1"/>
      <c r="I1263" s="1"/>
      <c r="J1263" s="1"/>
    </row>
    <row r="1264" spans="7:10">
      <c r="G1264" s="1"/>
      <c r="H1264" s="1"/>
      <c r="I1264" s="1"/>
      <c r="J1264" s="1"/>
    </row>
    <row r="1265" spans="7:10">
      <c r="G1265" s="1"/>
      <c r="H1265" s="1"/>
      <c r="I1265" s="1"/>
      <c r="J1265" s="1"/>
    </row>
    <row r="1266" spans="7:10">
      <c r="G1266" s="1"/>
      <c r="H1266" s="1"/>
      <c r="I1266" s="1"/>
      <c r="J1266" s="1"/>
    </row>
    <row r="1267" spans="7:10">
      <c r="G1267" s="1"/>
      <c r="H1267" s="1"/>
      <c r="I1267" s="1"/>
      <c r="J1267" s="1"/>
    </row>
    <row r="1268" spans="7:10">
      <c r="G1268" s="1"/>
      <c r="H1268" s="1"/>
      <c r="I1268" s="1"/>
      <c r="J1268" s="1"/>
    </row>
    <row r="1269" spans="7:10">
      <c r="G1269" s="1"/>
      <c r="H1269" s="1"/>
      <c r="I1269" s="1"/>
      <c r="J1269" s="1"/>
    </row>
    <row r="1270" spans="7:10">
      <c r="G1270" s="1"/>
      <c r="H1270" s="1"/>
      <c r="I1270" s="1"/>
      <c r="J1270" s="1"/>
    </row>
    <row r="1271" spans="7:10">
      <c r="G1271" s="1"/>
      <c r="H1271" s="1"/>
      <c r="I1271" s="1"/>
      <c r="J1271" s="1"/>
    </row>
    <row r="1272" spans="7:10">
      <c r="G1272" s="1"/>
      <c r="H1272" s="1"/>
      <c r="I1272" s="1"/>
      <c r="J1272" s="1"/>
    </row>
    <row r="1273" spans="7:10">
      <c r="G1273" s="1"/>
      <c r="H1273" s="1"/>
      <c r="I1273" s="1"/>
      <c r="J1273" s="1"/>
    </row>
    <row r="1274" spans="7:10">
      <c r="G1274" s="1"/>
      <c r="H1274" s="1"/>
      <c r="I1274" s="1"/>
      <c r="J1274" s="1"/>
    </row>
    <row r="1275" spans="7:10">
      <c r="G1275" s="1"/>
      <c r="H1275" s="1"/>
      <c r="I1275" s="1"/>
      <c r="J1275" s="1"/>
    </row>
    <row r="1276" spans="7:10">
      <c r="G1276" s="1"/>
      <c r="H1276" s="1"/>
      <c r="I1276" s="1"/>
      <c r="J1276" s="1"/>
    </row>
    <row r="1277" spans="7:10">
      <c r="G1277" s="1"/>
      <c r="H1277" s="1"/>
      <c r="I1277" s="1"/>
      <c r="J1277" s="1"/>
    </row>
    <row r="1278" spans="7:10">
      <c r="G1278" s="1"/>
      <c r="H1278" s="1"/>
      <c r="I1278" s="1"/>
      <c r="J1278" s="1"/>
    </row>
    <row r="1279" spans="7:10">
      <c r="G1279" s="1"/>
      <c r="H1279" s="1"/>
      <c r="I1279" s="1"/>
      <c r="J1279" s="1"/>
    </row>
    <row r="1280" spans="7:10">
      <c r="G1280" s="1"/>
      <c r="H1280" s="1"/>
      <c r="I1280" s="1"/>
      <c r="J1280" s="1"/>
    </row>
    <row r="1281" spans="7:10">
      <c r="G1281" s="1"/>
      <c r="H1281" s="1"/>
      <c r="I1281" s="1"/>
      <c r="J1281" s="1"/>
    </row>
    <row r="1282" spans="7:10">
      <c r="G1282" s="1"/>
      <c r="H1282" s="1"/>
      <c r="I1282" s="1"/>
      <c r="J1282" s="1"/>
    </row>
    <row r="1283" spans="7:10">
      <c r="G1283" s="1"/>
      <c r="H1283" s="1"/>
      <c r="I1283" s="1"/>
      <c r="J1283" s="1"/>
    </row>
    <row r="1284" spans="7:10">
      <c r="G1284" s="1"/>
      <c r="H1284" s="1"/>
      <c r="I1284" s="1"/>
      <c r="J1284" s="1"/>
    </row>
    <row r="1285" spans="7:10">
      <c r="G1285" s="1"/>
      <c r="H1285" s="1"/>
      <c r="I1285" s="1"/>
      <c r="J1285" s="1"/>
    </row>
    <row r="1286" spans="7:10">
      <c r="G1286" s="1"/>
      <c r="H1286" s="1"/>
      <c r="I1286" s="1"/>
      <c r="J1286" s="1"/>
    </row>
  </sheetData>
  <sheetProtection formatCells="0" formatColumns="0" formatRows="0" insertRows="0" deleteRows="0" selectLockedCells="1" sort="0"/>
  <dataConsolidate/>
  <mergeCells count="53">
    <mergeCell ref="B95:F95"/>
    <mergeCell ref="A1:F4"/>
    <mergeCell ref="D17:F17"/>
    <mergeCell ref="D15:F15"/>
    <mergeCell ref="E5:F5"/>
    <mergeCell ref="D8:E8"/>
    <mergeCell ref="D10:F10"/>
    <mergeCell ref="D11:F11"/>
    <mergeCell ref="D12:F12"/>
    <mergeCell ref="B19:F19"/>
    <mergeCell ref="A10:B10"/>
    <mergeCell ref="A11:B11"/>
    <mergeCell ref="C22:F22"/>
    <mergeCell ref="C23:F23"/>
    <mergeCell ref="A12:B12"/>
    <mergeCell ref="A16:B16"/>
    <mergeCell ref="A14:B14"/>
    <mergeCell ref="A15:B15"/>
    <mergeCell ref="A17:B17"/>
    <mergeCell ref="A13:B13"/>
    <mergeCell ref="A22:B22"/>
    <mergeCell ref="A23:B23"/>
    <mergeCell ref="D13:F13"/>
    <mergeCell ref="D14:F14"/>
    <mergeCell ref="D16:F16"/>
    <mergeCell ref="C25:F25"/>
    <mergeCell ref="B71:F71"/>
    <mergeCell ref="B73:F73"/>
    <mergeCell ref="B75:F75"/>
    <mergeCell ref="B77:F77"/>
    <mergeCell ref="B58:F58"/>
    <mergeCell ref="B60:F60"/>
    <mergeCell ref="B66:F66"/>
    <mergeCell ref="B64:E64"/>
    <mergeCell ref="B62:C62"/>
    <mergeCell ref="B69:F69"/>
    <mergeCell ref="B68:F68"/>
    <mergeCell ref="B112:F112"/>
    <mergeCell ref="B85:F85"/>
    <mergeCell ref="B89:F89"/>
    <mergeCell ref="B81:F81"/>
    <mergeCell ref="B79:F79"/>
    <mergeCell ref="B87:E87"/>
    <mergeCell ref="B91:E91"/>
    <mergeCell ref="B93:E93"/>
    <mergeCell ref="B88:E88"/>
    <mergeCell ref="B83:F83"/>
    <mergeCell ref="B110:F110"/>
    <mergeCell ref="B105:F105"/>
    <mergeCell ref="B103:E103"/>
    <mergeCell ref="B99:E99"/>
    <mergeCell ref="B101:E101"/>
    <mergeCell ref="B97:F97"/>
  </mergeCells>
  <hyperlinks>
    <hyperlink ref="B5" r:id="rId1" display="www.BOYDSIGNSYSTEMS.com                                                                     " xr:uid="{00000000-0004-0000-0200-000000000000}"/>
  </hyperlinks>
  <printOptions gridLinesSet="0"/>
  <pageMargins left="0.25" right="0" top="0" bottom="0.5" header="0" footer="0.2"/>
  <pageSetup orientation="portrait" horizontalDpi="4294967293" verticalDpi="4294967293" r:id="rId2"/>
  <headerFooter scaleWithDoc="0">
    <oddFooter xml:space="preserve">&amp;L_x000D_&amp;1#&amp;"Calibri"&amp;8&amp;K000000 Classified as Confidential&amp;C&amp;"Arial,Bold"&amp;8Job # &amp;F    &amp;P of &amp;N  &amp;"Arial,Regular"Initials: Boyd &amp;"Segoe Script,Italic"&amp;10&amp;U  bss  &amp;"Arial,Regular"&amp;8&amp;U Client ______&amp;R&amp;8
</oddFooter>
  </headerFooter>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Proposal</vt:lpstr>
      <vt:lpstr>Proposal!Print_Area</vt:lpstr>
      <vt:lpstr>Proposal!Print_Titles</vt:lpstr>
      <vt:lpstr>Proposal_Descript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Kevon Briggs</dc:creator>
  <cp:lastModifiedBy>Eric Finney</cp:lastModifiedBy>
  <cp:lastPrinted>2025-12-11T19:43:04Z</cp:lastPrinted>
  <dcterms:created xsi:type="dcterms:W3CDTF">2011-12-28T19:57:02Z</dcterms:created>
  <dcterms:modified xsi:type="dcterms:W3CDTF">2025-12-31T18:10:31Z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66cb30-e4d2-460e-89a9-2b8297435ace_Enabled">
    <vt:lpwstr>true</vt:lpwstr>
  </property>
  <property fmtid="{D5CDD505-2E9C-101B-9397-08002B2CF9AE}" pid="3" name="MSIP_Label_de66cb30-e4d2-460e-89a9-2b8297435ace_SetDate">
    <vt:lpwstr>2025-02-05T00:22:11Z</vt:lpwstr>
  </property>
  <property fmtid="{D5CDD505-2E9C-101B-9397-08002B2CF9AE}" pid="4" name="MSIP_Label_de66cb30-e4d2-460e-89a9-2b8297435ace_Method">
    <vt:lpwstr>Standard</vt:lpwstr>
  </property>
  <property fmtid="{D5CDD505-2E9C-101B-9397-08002B2CF9AE}" pid="5" name="MSIP_Label_de66cb30-e4d2-460e-89a9-2b8297435ace_Name">
    <vt:lpwstr>Confidential Anyone</vt:lpwstr>
  </property>
  <property fmtid="{D5CDD505-2E9C-101B-9397-08002B2CF9AE}" pid="6" name="MSIP_Label_de66cb30-e4d2-460e-89a9-2b8297435ace_SiteId">
    <vt:lpwstr>b8af5509-7c98-446f-9fc7-e57c9147034b</vt:lpwstr>
  </property>
  <property fmtid="{D5CDD505-2E9C-101B-9397-08002B2CF9AE}" pid="7" name="MSIP_Label_de66cb30-e4d2-460e-89a9-2b8297435ace_ActionId">
    <vt:lpwstr>d269d12e-7af8-455a-89dd-e2998ad9d493</vt:lpwstr>
  </property>
  <property fmtid="{D5CDD505-2E9C-101B-9397-08002B2CF9AE}" pid="8" name="MSIP_Label_de66cb30-e4d2-460e-89a9-2b8297435ace_ContentBits">
    <vt:lpwstr>2</vt:lpwstr>
  </property>
</Properties>
</file>