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updateLinks="never" codeName="ThisWorkbook" defaultThemeVersion="124226"/>
  <mc:AlternateContent xmlns:mc="http://schemas.openxmlformats.org/markup-compatibility/2006">
    <mc:Choice Requires="x15">
      <x15ac:absPath xmlns:x15ac="http://schemas.microsoft.com/office/spreadsheetml/2010/11/ac" url="C:\Users\efinney\Pictures\"/>
    </mc:Choice>
  </mc:AlternateContent>
  <xr:revisionPtr revIDLastSave="0" documentId="13_ncr:1_{65C48A63-BC6D-450C-8EF6-91CCC99084F2}" xr6:coauthVersionLast="47" xr6:coauthVersionMax="47" xr10:uidLastSave="{00000000-0000-0000-0000-000000000000}"/>
  <bookViews>
    <workbookView xWindow="28680" yWindow="-120" windowWidth="29040" windowHeight="15840" tabRatio="832" xr2:uid="{00000000-000D-0000-FFFF-FFFF00000000}"/>
  </bookViews>
  <sheets>
    <sheet name="Proposal" sheetId="19" r:id="rId1"/>
  </sheets>
  <definedNames>
    <definedName name="_xlnm._FilterDatabase" localSheetId="0" hidden="1">Proposal!#REF!</definedName>
    <definedName name="ApprovedCO_Amt">#REF!</definedName>
    <definedName name="ApprovedContract_Amt">#REF!</definedName>
    <definedName name="CO_Descript">#REF!</definedName>
    <definedName name="Estimate_Descript">#REF!</definedName>
    <definedName name="Invoice_Descript">#REF!</definedName>
    <definedName name="JobLink">#REF!</definedName>
    <definedName name="Pack_Descript">#REF!</definedName>
    <definedName name="PackSlip_Descript">#REF!</definedName>
    <definedName name="_xlnm.Print_Area" localSheetId="0">Proposal!$A$1:$F$122</definedName>
    <definedName name="_xlnm.Print_Titles" localSheetId="0">Proposal!$8:$8</definedName>
    <definedName name="Proposal_Descript">Proposal!$C$28:$C$46</definedName>
    <definedName name="RCO_Descript">#REF!</definedName>
    <definedName name="UnapprovedCO_Amt">#REF!</definedName>
    <definedName name="Z_A581824D_91D9_4409_9934_4343B9D559AE_.wvu.FilterData" localSheetId="0" hidden="1">Proposal!#REF!</definedName>
    <definedName name="Z_A581824D_91D9_4409_9934_4343B9D559AE_.wvu.PrintArea" localSheetId="0" hidden="1">Proposal!$A$1:$F$117</definedName>
    <definedName name="Z_A581824D_91D9_4409_9934_4343B9D559AE_.wvu.PrintTitles" localSheetId="0" hidden="1">Proposal!$8:$8</definedName>
    <definedName name="Z_A581824D_91D9_4409_9934_4343B9D559AE_.wvu.Rows" localSheetId="0" hidden="1">Proposal!$39:$40</definedName>
  </definedNames>
  <calcPr calcId="191029"/>
  <customWorkbookViews>
    <customWorkbookView name="Nancy Punt - Personal View" guid="{A581824D-91D9-4409-9934-4343B9D559AE}" mergeInterval="0" personalView="1" maximized="1" windowWidth="1680" windowHeight="844" activeSheetId="1"/>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7" i="19" l="1"/>
  <c r="F46" i="19"/>
  <c r="F45" i="19"/>
  <c r="F29" i="19"/>
  <c r="F30" i="19"/>
  <c r="F31" i="19"/>
  <c r="F32" i="19"/>
  <c r="F33" i="19"/>
  <c r="F34" i="19"/>
  <c r="F35" i="19"/>
  <c r="F36" i="19"/>
  <c r="F37" i="19"/>
  <c r="F38" i="19"/>
  <c r="F39" i="19"/>
  <c r="F40" i="19"/>
  <c r="F41" i="19"/>
  <c r="F42" i="19"/>
  <c r="F43" i="19"/>
  <c r="F44" i="19"/>
  <c r="F28" i="19" l="1"/>
  <c r="F48" i="19" s="1"/>
  <c r="A28" i="19"/>
  <c r="A29" i="19" s="1"/>
  <c r="A30" i="19" s="1"/>
  <c r="A31" i="19" s="1"/>
  <c r="A32" i="19" s="1"/>
  <c r="A33" i="19" s="1"/>
  <c r="A34" i="19" s="1"/>
  <c r="A35" i="19" s="1"/>
  <c r="A36" i="19" s="1"/>
  <c r="A37" i="19" s="1"/>
  <c r="A38" i="19" s="1"/>
  <c r="A39" i="19" s="1"/>
  <c r="A40" i="19" s="1"/>
  <c r="A41" i="19" s="1"/>
  <c r="A42" i="19" s="1"/>
  <c r="A43" i="19" s="1"/>
  <c r="A44" i="19" s="1"/>
  <c r="A45" i="19" s="1"/>
  <c r="A46" i="19" s="1"/>
  <c r="A47" i="19" s="1"/>
  <c r="F54" i="19" l="1"/>
  <c r="F62" i="1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Nancy Punt</author>
  </authors>
  <commentList>
    <comment ref="D8" authorId="0" shapeId="0" xr:uid="{00000000-0006-0000-0200-000001000000}">
      <text>
        <r>
          <rPr>
            <sz val="9"/>
            <color indexed="81"/>
            <rFont val="Tahoma"/>
            <family val="2"/>
          </rPr>
          <t xml:space="preserve">            </t>
        </r>
        <r>
          <rPr>
            <b/>
            <u/>
            <sz val="9"/>
            <color indexed="81"/>
            <rFont val="Tahoma"/>
            <family val="2"/>
          </rPr>
          <t>REVISED</t>
        </r>
        <r>
          <rPr>
            <sz val="9"/>
            <color indexed="81"/>
            <rFont val="Tahoma"/>
            <family val="2"/>
          </rPr>
          <t xml:space="preserve">
</t>
        </r>
        <r>
          <rPr>
            <sz val="8"/>
            <color indexed="81"/>
            <rFont val="Tahoma"/>
            <family val="2"/>
          </rPr>
          <t xml:space="preserve">once proposal has been sent out &amp; it needs to be revised. Copy sheet, mark the job# as A and if revised again B </t>
        </r>
        <r>
          <rPr>
            <sz val="9"/>
            <color indexed="81"/>
            <rFont val="Tahoma"/>
            <family val="2"/>
          </rPr>
          <t xml:space="preserve">
(example 2201 A)
</t>
        </r>
        <r>
          <rPr>
            <sz val="8"/>
            <color indexed="81"/>
            <rFont val="Tahoma"/>
            <family val="2"/>
          </rPr>
          <t>once proposal is signed off it cannot be revised --now it needs a change order.</t>
        </r>
        <r>
          <rPr>
            <sz val="9"/>
            <color indexed="81"/>
            <rFont val="Tahoma"/>
            <family val="2"/>
          </rPr>
          <t xml:space="preserve">
             </t>
        </r>
        <r>
          <rPr>
            <b/>
            <u/>
            <sz val="9"/>
            <color indexed="81"/>
            <rFont val="Tahoma"/>
            <family val="2"/>
          </rPr>
          <t>Phases</t>
        </r>
        <r>
          <rPr>
            <sz val="9"/>
            <color indexed="81"/>
            <rFont val="Tahoma"/>
            <family val="2"/>
          </rPr>
          <t xml:space="preserve">
</t>
        </r>
        <r>
          <rPr>
            <sz val="8"/>
            <color indexed="81"/>
            <rFont val="Tahoma"/>
            <family val="2"/>
          </rPr>
          <t>more than one phase or several billings. can have As &amp; Bs
use Job # and the PH1 or PH2</t>
        </r>
        <r>
          <rPr>
            <sz val="9"/>
            <color indexed="81"/>
            <rFont val="Tahoma"/>
            <family val="2"/>
          </rPr>
          <t xml:space="preserve">
(example 2201 PH1)
              </t>
        </r>
        <r>
          <rPr>
            <b/>
            <u/>
            <sz val="9"/>
            <color indexed="81"/>
            <rFont val="Tahoma"/>
            <family val="2"/>
          </rPr>
          <t>Options</t>
        </r>
        <r>
          <rPr>
            <b/>
            <sz val="9"/>
            <color indexed="81"/>
            <rFont val="Tahoma"/>
            <family val="2"/>
          </rPr>
          <t xml:space="preserve">
</t>
        </r>
        <r>
          <rPr>
            <sz val="8"/>
            <color indexed="81"/>
            <rFont val="Tahoma"/>
            <family val="2"/>
          </rPr>
          <t xml:space="preserve">more than one option use Option 1, Option 2. Can have As &amp; Bs
</t>
        </r>
        <r>
          <rPr>
            <sz val="9"/>
            <color indexed="81"/>
            <rFont val="Tahoma"/>
            <family val="2"/>
          </rPr>
          <t xml:space="preserve">(example 2201 Option 1)
         </t>
        </r>
        <r>
          <rPr>
            <b/>
            <u/>
            <sz val="9"/>
            <color indexed="81"/>
            <rFont val="Tahoma"/>
            <family val="2"/>
          </rPr>
          <t>Several Clients</t>
        </r>
        <r>
          <rPr>
            <sz val="9"/>
            <color indexed="81"/>
            <rFont val="Tahoma"/>
            <family val="2"/>
          </rPr>
          <t xml:space="preserve"> 
</t>
        </r>
        <r>
          <rPr>
            <sz val="8"/>
            <color indexed="81"/>
            <rFont val="Tahoma"/>
            <family val="2"/>
          </rPr>
          <t>after job # use abbreviated client name. can have As &amp; Bs</t>
        </r>
        <r>
          <rPr>
            <sz val="9"/>
            <color indexed="81"/>
            <rFont val="Tahoma"/>
            <family val="2"/>
          </rPr>
          <t xml:space="preserve">
(example 22201 Yesco)
</t>
        </r>
      </text>
    </comment>
    <comment ref="F28" authorId="0" shapeId="0" xr:uid="{00000000-0006-0000-0200-000002000000}">
      <text>
        <r>
          <rPr>
            <b/>
            <sz val="9"/>
            <color indexed="81"/>
            <rFont val="Tahoma"/>
            <family val="2"/>
          </rPr>
          <t>formula needed</t>
        </r>
        <r>
          <rPr>
            <sz val="9"/>
            <color indexed="81"/>
            <rFont val="Tahoma"/>
            <family val="2"/>
          </rPr>
          <t xml:space="preserve">
</t>
        </r>
      </text>
    </comment>
    <comment ref="F29" authorId="0" shapeId="0" xr:uid="{00000000-0006-0000-0200-000018000000}">
      <text>
        <r>
          <rPr>
            <b/>
            <sz val="9"/>
            <color indexed="81"/>
            <rFont val="Tahoma"/>
            <family val="2"/>
          </rPr>
          <t>formula needed</t>
        </r>
        <r>
          <rPr>
            <sz val="9"/>
            <color indexed="81"/>
            <rFont val="Tahoma"/>
            <family val="2"/>
          </rPr>
          <t xml:space="preserve">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<sst xmlns="http://schemas.openxmlformats.org/spreadsheetml/2006/main" count="74" uniqueCount="74">
  <si>
    <t>Date:</t>
  </si>
  <si>
    <t>Item</t>
  </si>
  <si>
    <t>Sign Type</t>
  </si>
  <si>
    <t>Description</t>
  </si>
  <si>
    <t>Qty</t>
  </si>
  <si>
    <t>Total</t>
  </si>
  <si>
    <t>Subtotal</t>
  </si>
  <si>
    <t>Installation</t>
  </si>
  <si>
    <t>Grand Total</t>
  </si>
  <si>
    <t>Unit  Price</t>
  </si>
  <si>
    <t>Sales Rep:</t>
  </si>
  <si>
    <t>Project Overview:</t>
  </si>
  <si>
    <t>Terms and Conditions</t>
  </si>
  <si>
    <t>Balance due upon delivery of order.</t>
  </si>
  <si>
    <t>1.</t>
  </si>
  <si>
    <t>2.</t>
  </si>
  <si>
    <t>3.</t>
  </si>
  <si>
    <t>4.</t>
  </si>
  <si>
    <t>5.</t>
  </si>
  <si>
    <t>6.</t>
  </si>
  <si>
    <t>7.</t>
  </si>
  <si>
    <t>8.</t>
  </si>
  <si>
    <t>9.</t>
  </si>
  <si>
    <t>10.</t>
  </si>
  <si>
    <t>11.</t>
  </si>
  <si>
    <t>12.</t>
  </si>
  <si>
    <t>13.</t>
  </si>
  <si>
    <t>Boyd Sign Systems warranties all material and labor from one year of purchase.  Warranties will not be honored if product has not been paid for in full.  Extended warranty terms are available for an additional cost.</t>
  </si>
  <si>
    <t>We appreciate this opportunity to present our proposal.  If this proposal meets your approval, please indicate your acceptance by signing below.</t>
  </si>
  <si>
    <t>Customer Approval:</t>
  </si>
  <si>
    <t>Signature indicates your agreement with this proposal and any associated Statements of Work.</t>
  </si>
  <si>
    <t xml:space="preserve">          www.BOYDSIGNSYSTEMS.com                                                                     </t>
  </si>
  <si>
    <t>All drawings must be signed-off and the deposit received before work will be sent to production.</t>
  </si>
  <si>
    <t>The attached proposal is a key component of your project's overall transaction as it clearly defines the various detailed signage needs.  This document must be signed and dated as a pre-condition of project commencement.</t>
  </si>
  <si>
    <r>
      <t xml:space="preserve">Boyd Sign Systems </t>
    </r>
    <r>
      <rPr>
        <b/>
        <sz val="9"/>
        <rFont val="Arial"/>
        <family val="2"/>
      </rPr>
      <t>LLC</t>
    </r>
  </si>
  <si>
    <t>Project Manager:</t>
  </si>
  <si>
    <t>All prices are FOB Origin.  Shipping is quoted using standard ground services and in one delivery.  If an expedited and/or split-shipping method is requested a change order will be required, and additional charges will apply.</t>
  </si>
  <si>
    <t>All amounts not paid when due according to the terms herein, including interest, shall bear interest at the highest rate allowed by law from the date payment was due until paid.</t>
  </si>
  <si>
    <t>Boyd Sign Systems has a minimum order amount of $250.  Boyd Sign Systems will honor the unit price of the product or system for ninety (90) days from the final ship date of said product or system as long as the total amount of the order meets the $250 minimum.</t>
  </si>
  <si>
    <t>After ninety (90) days from the final ship date, unit prices will be adjusted to reflect the fair market value of manufacturing the signs in reduced quantities versus the efficiencies that are gained in larger production runs.</t>
  </si>
  <si>
    <t>Requests for product ahead of the scheduled delivery date (triggered by the final sign-off &amp; deposit) will necessitate an expediting/rush charge and will only be set in motion by a signed change order.</t>
  </si>
  <si>
    <t>If Installation is part of your project, the install price is calculated on the basis of a detailed, finely coordinated schedule of events based on the best information available to us at the time of this proposal.  We Acknowledge that site conditions can and do change throughout the course of a project, and we will always do our best to accommodate reasonable modifications to our original plan, however, if site conditions are not ready for us or misrepresented, and we are unable to execute our stated work, a change order will be necessary to capture the additional trip(s) and associated costs.  Work will not commerce until said change order(s) is acknowledged and signed.</t>
  </si>
  <si>
    <t>14.</t>
  </si>
  <si>
    <t>15.</t>
  </si>
  <si>
    <t>16.</t>
  </si>
  <si>
    <t>The buyer is responsible for and ensuring the proper resources are in place and ready to receive shipments from Boyd Sign Systems unless prior arrangements were made and documented in writing.  This includes; qualified personnel, material handling equipment, and a safe and secure area for the crate(s) to be stored until they are needed.</t>
  </si>
  <si>
    <t>You will receive an invoice for the down payment required to begin your project and terms for the balance is due upon completion.  The obligations that Boyd Sign Systems will assume will not begin until all documents are signed and received, including the down payment.</t>
  </si>
  <si>
    <t>Ship to</t>
  </si>
  <si>
    <t>Sign Location</t>
  </si>
  <si>
    <t>Other Services</t>
  </si>
  <si>
    <t>Sold to</t>
  </si>
  <si>
    <r>
      <t xml:space="preserve">   Customer Signature: __________________________________________________</t>
    </r>
    <r>
      <rPr>
        <b/>
        <sz val="10"/>
        <rFont val="Arial"/>
        <family val="2"/>
      </rPr>
      <t xml:space="preserve">  Date</t>
    </r>
    <r>
      <rPr>
        <sz val="10"/>
        <rFont val="Arial"/>
        <family val="2"/>
      </rPr>
      <t>: ___________________</t>
    </r>
  </si>
  <si>
    <r>
      <t xml:space="preserve">    Print Name: _______________________________________________     </t>
    </r>
    <r>
      <rPr>
        <b/>
        <sz val="10"/>
        <rFont val="Arial"/>
        <family val="2"/>
      </rPr>
      <t>Title</t>
    </r>
    <r>
      <rPr>
        <sz val="10"/>
        <rFont val="Arial"/>
        <family val="2"/>
      </rPr>
      <t>: _____________________________</t>
    </r>
  </si>
  <si>
    <t>of order</t>
  </si>
  <si>
    <t xml:space="preserve"> Tax</t>
  </si>
  <si>
    <r>
      <t xml:space="preserve">                                                                                                                             </t>
    </r>
    <r>
      <rPr>
        <b/>
        <sz val="12"/>
        <color indexed="56"/>
        <rFont val="Arial"/>
        <family val="2"/>
      </rPr>
      <t>BSS Job#</t>
    </r>
    <r>
      <rPr>
        <sz val="12"/>
        <color indexed="56"/>
        <rFont val="Arial"/>
        <family val="2"/>
      </rPr>
      <t xml:space="preserve"> </t>
    </r>
    <r>
      <rPr>
        <sz val="9"/>
        <color indexed="56"/>
        <rFont val="Arial"/>
        <family val="2"/>
      </rPr>
      <t xml:space="preserve">                                       </t>
    </r>
  </si>
  <si>
    <t>17.</t>
  </si>
  <si>
    <t xml:space="preserve">Taxes. Customer is responsible for all taxes.  If not billed on original invoice, taxes may be billed separately at a future date.  The amount of taxes invoiced will be the actual amount computed based on FOB Origin or FOB Destination for customer's ship to location, which may be different than those shown on this proposal.  If this proposal is being used for budgetary purposes, customer may wish to compute taxes based upon their knowledge of their own tax locations.   </t>
  </si>
  <si>
    <t>If customer is tax exempt or holds a resale license, customer is responsible for providing their tax-exempt or resale certificate to Boyd Sign Systems: otherwise invoicing will include taxes.</t>
  </si>
  <si>
    <t>The final ship and/or install date will be determined once all of the creative materials have been received.</t>
  </si>
  <si>
    <t>18.</t>
  </si>
  <si>
    <t>19.</t>
  </si>
  <si>
    <t xml:space="preserve"> Deposit / Down Payment Information.               The deposit for this proposal is:</t>
  </si>
  <si>
    <t xml:space="preserve">Pricing for your job is calculated to be built and shipped in its entirety unless previously noted.
Any requests that deviate from this will impact the cost of production and thus necessitate a change order reflecting additional charges.  </t>
  </si>
  <si>
    <t xml:space="preserve">      Boyd Sign Systems' Contacts                                          </t>
  </si>
  <si>
    <r>
      <t>Special delivery services</t>
    </r>
    <r>
      <rPr>
        <sz val="10"/>
        <rFont val="Arial"/>
        <family val="2"/>
      </rPr>
      <t xml:space="preserve"> not disclosed, but necessary to deliver our products, such as lift-gate requirements, construction sites, government properties, tradeshow exhibits, ones requiring specific appointments, redeliveries, or other special delivery situations are all subject to additional charges and will be billed accordingly.</t>
    </r>
  </si>
  <si>
    <t>This Agreement (signed proposal) shall be construed in accordance with and governed by the laws of the State of Colorado and of the United States of America.  This Agreement (signed proposal) is made and is performable in the City of Englewood, Arapahoe County, Colorado.  Buyer and Seller agree that suits brought to enforce or interpret or relating to the terms of this Agreement (signed proposal) or alleging default there under shall be brought in the State Courts or United States District Courts sitting in the City of Denver, Denver County, Colorado, which courts shall have exclusive jurisdiction of such claims, and Seller and each surety, guarantor, endorser and other party ever liable for payment of any sums of money under this Agreement (signed proposal), jointly and severally waive the right to be sued heron elsewhere.   All sums of money due and payable under this Agreement (signed proposal), jointly and severally waive the right to be sued heron elsewhere. All sums of money due and payable under this Agreement (signed proposal) shall be paid to Seller at 3901 S Kalamath Street, Englewood, Colorado 80110.</t>
  </si>
  <si>
    <r>
      <t>Shop Drawings</t>
    </r>
    <r>
      <rPr>
        <b/>
        <sz val="10"/>
        <rFont val="Arial"/>
        <family val="2"/>
      </rPr>
      <t xml:space="preserve"> </t>
    </r>
    <r>
      <rPr>
        <sz val="10"/>
        <rFont val="Arial"/>
        <family val="2"/>
      </rPr>
      <t xml:space="preserve">will not begin until this proposal is approved. Once signed and returned, shop drawings take between 3-10 business days to complete. Shop drawings must be signed and returned before fabrication can begin. Once shop drawings are complete, any major changes that occur and a re-draw is required, an engineering/graphics fee of $300 per sign type will apply. Regarding digital enclosures this $300 fee applies to changes in hardware, mounting application (surface vs. recessed), or design. Approval of this proposal authorizes Boyd to start shop drawings based on the quoted hardware specs outlined in the description field of each sign type. </t>
    </r>
  </si>
  <si>
    <t>Typical lead-time to ship is 6 weeks once the design has been finalized and signed off by the client.  We reserve the right to adjust the quoted delivery at the time we receive the actual sign off and down payment to then accurately reflect our existing production requirements.</t>
  </si>
  <si>
    <t>Shipping &amp; Crating</t>
  </si>
  <si>
    <t>Prices are effective for 20 days from the date of this proposal.                                                                                                This proposal may be withdrawn if not executed within this time.</t>
  </si>
  <si>
    <t>Client Responsible for Taxes-</t>
  </si>
  <si>
    <t>Shipping is quoted using standard ground services (transit 5-7 business days). If expedited shipping is preferred, a change order is required.  Approval of said change order is required prior to shipment. The entire shipment must be inspected for damage immediately upon delivery and documented and reported immediately to the carrier.  If an immediate inspection is not conducted, Boyd Sign Systems will not be held responsible.  Any damage then becomes the responsibility of the "Recipient/Consignee".</t>
  </si>
  <si>
    <t xml:space="preserve">Date: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</si>
</sst>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409]mmmm\ d\,\ yyyy;@"/>
    <numFmt numFmtId="165" formatCode="&quot;$&quot;#,##0"/>
    <numFmt numFmtId="166" formatCode="[&lt;=9999999]###\-####;\(###\)\ ###\-####"/>
    <numFmt numFmtId="167" formatCode="0.000%"/>
  </numFmts>
  <fonts count="56">
    <font>
      <sz val="10"/>
      <name val="Arial"/>
      <family val="2"/>
    </font>
    <font>
      <sz val="11"/>
      <color theme="1"/>
      <name val="Calibri"/>
      <family val="2"/>
      <scheme val="minor"/>
    </font>
    <font>
      <sz val="10"/>
      <name val="Arial"/>
      <family val="2"/>
    </font>
    <font>
      <b/>
      <sz val="10"/>
      <name val="Arial"/>
      <family val="2"/>
    </font>
    <font>
      <b/>
      <sz val="12"/>
      <name val="Arial"/>
      <family val="2"/>
    </font>
    <font>
      <b/>
      <sz val="9"/>
      <name val="Arial"/>
      <family val="2"/>
    </font>
    <font>
      <sz val="10"/>
      <name val="Century Gothic"/>
      <family val="2"/>
    </font>
    <font>
      <sz val="9"/>
      <name val="Arial"/>
      <family val="2"/>
    </font>
    <font>
      <u/>
      <sz val="10"/>
      <color indexed="12"/>
      <name val="Arial"/>
      <family val="2"/>
    </font>
    <font>
      <sz val="10"/>
      <color indexed="8"/>
      <name val="Arial"/>
      <family val="2"/>
    </font>
    <font>
      <sz val="8"/>
      <name val="Arial"/>
      <family val="2"/>
    </font>
    <font>
      <sz val="11"/>
      <name val="Calibri"/>
      <family val="2"/>
    </font>
    <font>
      <b/>
      <i/>
      <sz val="10"/>
      <name val="Arial"/>
      <family val="2"/>
    </font>
    <font>
      <sz val="8"/>
      <name val="Arial Narrow"/>
      <family val="2"/>
    </font>
    <font>
      <sz val="9"/>
      <color indexed="81"/>
      <name val="Tahoma"/>
      <family val="2"/>
    </font>
    <font>
      <i/>
      <sz val="8"/>
      <name val="Arial"/>
      <family val="2"/>
    </font>
    <font>
      <b/>
      <sz val="8"/>
      <name val="Arno Pro Smbd SmText"/>
      <family val="1"/>
    </font>
    <font>
      <b/>
      <sz val="9"/>
      <name val="Courier New"/>
      <family val="3"/>
    </font>
    <font>
      <b/>
      <sz val="8"/>
      <name val="Arial"/>
      <family val="2"/>
    </font>
    <font>
      <i/>
      <sz val="8"/>
      <name val="Constantia"/>
      <family val="1"/>
    </font>
    <font>
      <sz val="9"/>
      <color indexed="56"/>
      <name val="Arial"/>
      <family val="2"/>
    </font>
    <font>
      <sz val="10"/>
      <name val="Cordia New"/>
      <family val="2"/>
    </font>
    <font>
      <b/>
      <u/>
      <sz val="8"/>
      <name val="Arial"/>
      <family val="2"/>
    </font>
    <font>
      <sz val="9"/>
      <name val="Segoe UI"/>
      <family val="2"/>
    </font>
    <font>
      <b/>
      <sz val="9"/>
      <name val="Segoe UI"/>
      <family val="2"/>
    </font>
    <font>
      <b/>
      <sz val="18"/>
      <name val="Arial"/>
      <family val="2"/>
    </font>
    <font>
      <b/>
      <sz val="11"/>
      <name val="Arial"/>
      <family val="2"/>
    </font>
    <font>
      <sz val="9"/>
      <name val="Albertus Extra Bold"/>
      <family val="2"/>
    </font>
    <font>
      <b/>
      <sz val="10"/>
      <name val="Segoe UI"/>
      <family val="2"/>
    </font>
    <font>
      <b/>
      <sz val="12"/>
      <color indexed="56"/>
      <name val="Arial"/>
      <family val="2"/>
    </font>
    <font>
      <sz val="12"/>
      <color indexed="56"/>
      <name val="Arial"/>
      <family val="2"/>
    </font>
    <font>
      <sz val="16"/>
      <name val="GarmdITC BkCn BT"/>
      <family val="1"/>
    </font>
    <font>
      <b/>
      <i/>
      <sz val="8"/>
      <name val="Arial"/>
      <family val="2"/>
    </font>
    <font>
      <b/>
      <sz val="9"/>
      <color indexed="81"/>
      <name val="Tahoma"/>
      <family val="2"/>
    </font>
    <font>
      <b/>
      <u/>
      <sz val="9"/>
      <color indexed="81"/>
      <name val="Tahoma"/>
      <family val="2"/>
    </font>
    <font>
      <sz val="8"/>
      <color indexed="81"/>
      <name val="Tahoma"/>
      <family val="2"/>
    </font>
    <font>
      <sz val="8"/>
      <color indexed="56"/>
      <name val="Arial"/>
      <family val="2"/>
    </font>
    <font>
      <sz val="9"/>
      <color indexed="63"/>
      <name val="Arial"/>
      <family val="2"/>
    </font>
    <font>
      <sz val="10"/>
      <color indexed="63"/>
      <name val="Arial"/>
      <family val="2"/>
    </font>
    <font>
      <b/>
      <sz val="10"/>
      <color indexed="63"/>
      <name val="Arial"/>
      <family val="2"/>
    </font>
    <font>
      <b/>
      <i/>
      <sz val="10"/>
      <color indexed="63"/>
      <name val="Arial"/>
      <family val="2"/>
    </font>
    <font>
      <sz val="10"/>
      <name val="Arial"/>
      <family val="2"/>
    </font>
    <font>
      <b/>
      <u/>
      <sz val="10"/>
      <name val="Segoe UI Semibold"/>
      <family val="2"/>
    </font>
    <font>
      <i/>
      <sz val="10"/>
      <name val="Arial"/>
      <family val="2"/>
    </font>
    <font>
      <i/>
      <sz val="8"/>
      <name val="Century Schoolbook"/>
      <family val="1"/>
    </font>
    <font>
      <b/>
      <i/>
      <sz val="8"/>
      <name val="Century Schoolbook"/>
      <family val="1"/>
    </font>
    <font>
      <i/>
      <sz val="8"/>
      <name val="Caxton Bk BT"/>
      <family val="1"/>
    </font>
    <font>
      <sz val="8"/>
      <color indexed="63"/>
      <name val="Arial"/>
      <family val="2"/>
    </font>
    <font>
      <b/>
      <i/>
      <sz val="9"/>
      <color theme="1"/>
      <name val="Arial"/>
      <family val="2"/>
    </font>
    <font>
      <b/>
      <sz val="9"/>
      <color theme="1"/>
      <name val="Arial Narrow"/>
      <family val="2"/>
    </font>
    <font>
      <sz val="8"/>
      <color theme="1"/>
      <name val="Arial"/>
      <family val="2"/>
    </font>
    <font>
      <sz val="8"/>
      <color indexed="8"/>
      <name val="Arial Narrow"/>
      <family val="2"/>
    </font>
    <font>
      <b/>
      <sz val="8"/>
      <color theme="2" tint="-0.249977111117893"/>
      <name val="Arial"/>
      <family val="2"/>
    </font>
    <font>
      <b/>
      <i/>
      <sz val="8"/>
      <color theme="1"/>
      <name val="Arial"/>
      <family val="2"/>
    </font>
    <font>
      <sz val="8"/>
      <color indexed="8"/>
      <name val="Arial"/>
      <family val="2"/>
    </font>
    <font>
      <sz val="11"/>
      <name val="Century Gothic"/>
      <family val="2"/>
    </font>
  </fonts>
  <fills count="6">
    <fill>
      <patternFill patternType="none"/>
    </fill>
    <fill>
      <patternFill patternType="gray125"/>
    </fill>
    <fill>
      <patternFill patternType="solid">
        <fgColor indexed="44"/>
        <bgColor indexed="64"/>
      </patternFill>
    </fill>
    <fill>
      <patternFill patternType="solid">
        <fgColor rgb="FFE6E6E6"/>
        <bgColor indexed="64"/>
      </patternFill>
    </fill>
    <fill>
      <patternFill patternType="solid">
        <fgColor theme="0"/>
        <bgColor indexed="64"/>
      </patternFill>
    </fill>
    <fill>
      <patternFill patternType="solid">
        <fgColor theme="1"/>
        <bgColor indexed="64"/>
      </patternFill>
    </fill>
  </fills>
  <borders count="21">
    <border>
      <left/>
      <right/>
      <top/>
      <bottom/>
      <diagonal/>
    </border>
    <border>
      <left/>
      <right/>
      <top/>
      <bottom style="thin">
        <color indexed="64"/>
      </bottom>
      <diagonal/>
    </border>
    <border>
      <left/>
      <right/>
      <top/>
      <bottom style="medium">
        <color indexed="64"/>
      </bottom>
      <diagonal/>
    </border>
    <border>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style="thin">
        <color indexed="64"/>
      </right>
      <top/>
      <bottom/>
      <diagonal/>
    </border>
    <border>
      <left/>
      <right/>
      <top style="thin">
        <color auto="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bottom/>
      <diagonal/>
    </border>
    <border>
      <left style="thin">
        <color indexed="64"/>
      </left>
      <right style="thin">
        <color indexed="64"/>
      </right>
      <top style="thin">
        <color indexed="64"/>
      </top>
      <bottom style="thin">
        <color theme="0" tint="-0.14999847407452621"/>
      </bottom>
      <diagonal/>
    </border>
    <border>
      <left style="thin">
        <color indexed="64"/>
      </left>
      <right/>
      <top style="thin">
        <color indexed="64"/>
      </top>
      <bottom style="thin">
        <color theme="0" tint="-0.14999847407452621"/>
      </bottom>
      <diagonal/>
    </border>
    <border>
      <left style="thin">
        <color indexed="64"/>
      </left>
      <right style="thin">
        <color indexed="64"/>
      </right>
      <top style="thin">
        <color indexed="64"/>
      </top>
      <bottom style="thin">
        <color theme="1"/>
      </bottom>
      <diagonal/>
    </border>
    <border>
      <left/>
      <right/>
      <top style="thin">
        <color indexed="64"/>
      </top>
      <bottom style="thin">
        <color theme="1"/>
      </bottom>
      <diagonal/>
    </border>
    <border>
      <left style="thin">
        <color indexed="64"/>
      </left>
      <right/>
      <top style="thin">
        <color indexed="64"/>
      </top>
      <bottom style="thin">
        <color theme="1"/>
      </bottom>
      <diagonal/>
    </border>
    <border>
      <left/>
      <right/>
      <top style="thin">
        <color theme="0" tint="-0.14999847407452621"/>
      </top>
      <bottom style="thin">
        <color theme="0" tint="-0.14999847407452621"/>
      </bottom>
      <diagonal/>
    </border>
  </borders>
  <cellStyleXfs count="8">
    <xf numFmtId="0" fontId="0" fillId="0" borderId="0"/>
    <xf numFmtId="43" fontId="2" fillId="0" borderId="0" applyFont="0" applyFill="0" applyBorder="0" applyAlignment="0" applyProtection="0"/>
    <xf numFmtId="44" fontId="2" fillId="0" borderId="0" applyFont="0" applyFill="0" applyBorder="0" applyAlignment="0" applyProtection="0"/>
    <xf numFmtId="0" fontId="8" fillId="0" borderId="0" applyNumberFormat="0" applyFill="0" applyBorder="0" applyAlignment="0" applyProtection="0">
      <alignment vertical="top"/>
      <protection locked="0"/>
    </xf>
    <xf numFmtId="0" fontId="2" fillId="0" borderId="0"/>
    <xf numFmtId="0" fontId="41" fillId="0" borderId="0"/>
    <xf numFmtId="44" fontId="1" fillId="0" borderId="0" applyFont="0" applyFill="0" applyBorder="0" applyAlignment="0" applyProtection="0"/>
    <xf numFmtId="0" fontId="1" fillId="0" borderId="0"/>
  </cellStyleXfs>
  <cellXfs count="183">
    <xf numFmtId="0" fontId="0" fillId="0" borderId="0" xfId="0"/>
    <xf numFmtId="0" fontId="0" fillId="0" borderId="0" xfId="0" applyProtection="1">
      <protection locked="0"/>
    </xf>
    <xf numFmtId="0" fontId="0" fillId="0" borderId="0" xfId="0" applyAlignment="1" applyProtection="1">
      <alignment horizontal="left"/>
      <protection locked="0"/>
    </xf>
    <xf numFmtId="0" fontId="0" fillId="0" borderId="1" xfId="0" applyBorder="1"/>
    <xf numFmtId="49" fontId="0" fillId="0" borderId="0" xfId="0" applyNumberFormat="1"/>
    <xf numFmtId="0" fontId="20" fillId="0" borderId="0" xfId="0" applyFont="1" applyAlignment="1">
      <alignment vertical="top"/>
    </xf>
    <xf numFmtId="0" fontId="0" fillId="0" borderId="0" xfId="0" applyAlignment="1">
      <alignment vertical="top"/>
    </xf>
    <xf numFmtId="49" fontId="0" fillId="0" borderId="0" xfId="0" applyNumberFormat="1" applyProtection="1">
      <protection locked="0"/>
    </xf>
    <xf numFmtId="0" fontId="9" fillId="0" borderId="0" xfId="0" applyFont="1" applyProtection="1">
      <protection locked="0"/>
    </xf>
    <xf numFmtId="0" fontId="10" fillId="0" borderId="0" xfId="0" applyFont="1" applyProtection="1">
      <protection locked="0"/>
    </xf>
    <xf numFmtId="0" fontId="10" fillId="0" borderId="0" xfId="0" applyFont="1" applyAlignment="1" applyProtection="1">
      <alignment vertical="center"/>
      <protection locked="0"/>
    </xf>
    <xf numFmtId="0" fontId="10" fillId="0" borderId="0" xfId="0" applyFont="1" applyAlignment="1" applyProtection="1">
      <alignment horizontal="right"/>
      <protection locked="0"/>
    </xf>
    <xf numFmtId="0" fontId="43" fillId="0" borderId="0" xfId="0" applyFont="1" applyProtection="1">
      <protection locked="0"/>
    </xf>
    <xf numFmtId="0" fontId="32" fillId="0" borderId="0" xfId="0" applyFont="1" applyAlignment="1" applyProtection="1">
      <alignment horizontal="right"/>
      <protection locked="0"/>
    </xf>
    <xf numFmtId="49" fontId="0" fillId="0" borderId="0" xfId="0" applyNumberFormat="1" applyAlignment="1" applyProtection="1">
      <alignment horizontal="right"/>
      <protection locked="0"/>
    </xf>
    <xf numFmtId="0" fontId="46" fillId="0" borderId="0" xfId="0" applyFont="1" applyAlignment="1" applyProtection="1">
      <alignment horizontal="left"/>
      <protection locked="0"/>
    </xf>
    <xf numFmtId="0" fontId="13" fillId="0" borderId="0" xfId="0" applyFont="1" applyAlignment="1" applyProtection="1">
      <alignment horizontal="right"/>
      <protection locked="0"/>
    </xf>
    <xf numFmtId="0" fontId="3" fillId="0" borderId="0" xfId="0" applyFont="1" applyAlignment="1" applyProtection="1">
      <alignment horizontal="right"/>
      <protection locked="0"/>
    </xf>
    <xf numFmtId="0" fontId="0" fillId="0" borderId="0" xfId="0" applyAlignment="1" applyProtection="1">
      <alignment horizontal="left" vertical="top"/>
      <protection locked="0"/>
    </xf>
    <xf numFmtId="0" fontId="0" fillId="0" borderId="0" xfId="0" applyAlignment="1" applyProtection="1">
      <alignment vertical="top"/>
      <protection locked="0"/>
    </xf>
    <xf numFmtId="0" fontId="5" fillId="0" borderId="0" xfId="0" applyFont="1" applyAlignment="1">
      <alignment horizontal="left"/>
    </xf>
    <xf numFmtId="0" fontId="3" fillId="0" borderId="9" xfId="0" applyFont="1" applyBorder="1" applyAlignment="1">
      <alignment horizontal="center"/>
    </xf>
    <xf numFmtId="0" fontId="0" fillId="0" borderId="0" xfId="0" applyAlignment="1">
      <alignment vertical="top" wrapText="1"/>
    </xf>
    <xf numFmtId="0" fontId="4" fillId="0" borderId="0" xfId="0" applyFont="1" applyAlignment="1" applyProtection="1">
      <alignment horizontal="left" vertical="center"/>
      <protection locked="0"/>
    </xf>
    <xf numFmtId="0" fontId="3" fillId="0" borderId="0" xfId="0" applyFont="1" applyAlignment="1" applyProtection="1">
      <alignment horizontal="center"/>
      <protection locked="0"/>
    </xf>
    <xf numFmtId="0" fontId="3" fillId="0" borderId="0" xfId="0" applyFont="1" applyProtection="1">
      <protection locked="0"/>
    </xf>
    <xf numFmtId="4" fontId="46" fillId="0" borderId="0" xfId="0" applyNumberFormat="1" applyFont="1" applyProtection="1">
      <protection locked="0"/>
    </xf>
    <xf numFmtId="49" fontId="7" fillId="0" borderId="17" xfId="0" applyNumberFormat="1" applyFont="1" applyBorder="1" applyAlignment="1">
      <alignment horizontal="center" vertical="center"/>
    </xf>
    <xf numFmtId="0" fontId="17" fillId="0" borderId="18" xfId="0" applyFont="1" applyBorder="1" applyAlignment="1">
      <alignment horizontal="center" vertical="center" wrapText="1"/>
    </xf>
    <xf numFmtId="0" fontId="17" fillId="0" borderId="17" xfId="0" applyFont="1" applyBorder="1" applyAlignment="1">
      <alignment horizontal="center" vertical="center"/>
    </xf>
    <xf numFmtId="0" fontId="17" fillId="0" borderId="17" xfId="0" applyFont="1" applyBorder="1" applyAlignment="1">
      <alignment horizontal="center" vertical="center" wrapText="1"/>
    </xf>
    <xf numFmtId="0" fontId="7" fillId="0" borderId="12" xfId="0" applyFont="1" applyBorder="1" applyAlignment="1" applyProtection="1">
      <alignment horizontal="left" wrapText="1"/>
      <protection locked="0"/>
    </xf>
    <xf numFmtId="0" fontId="31" fillId="0" borderId="0" xfId="0" applyFont="1" applyAlignment="1">
      <alignment horizontal="left"/>
    </xf>
    <xf numFmtId="164" fontId="6" fillId="0" borderId="0" xfId="0" applyNumberFormat="1" applyFont="1" applyAlignment="1">
      <alignment horizontal="left"/>
    </xf>
    <xf numFmtId="4" fontId="44" fillId="0" borderId="0" xfId="0" applyNumberFormat="1" applyFont="1" applyProtection="1">
      <protection locked="0"/>
    </xf>
    <xf numFmtId="0" fontId="45" fillId="0" borderId="0" xfId="0" applyFont="1" applyAlignment="1" applyProtection="1">
      <alignment horizontal="left"/>
      <protection locked="0"/>
    </xf>
    <xf numFmtId="49" fontId="10" fillId="0" borderId="0" xfId="0" applyNumberFormat="1" applyFont="1"/>
    <xf numFmtId="164" fontId="2" fillId="0" borderId="0" xfId="0" applyNumberFormat="1" applyFont="1" applyAlignment="1" applyProtection="1">
      <alignment horizontal="left"/>
      <protection locked="0"/>
    </xf>
    <xf numFmtId="49" fontId="7" fillId="0" borderId="0" xfId="0" applyNumberFormat="1" applyFont="1"/>
    <xf numFmtId="0" fontId="10" fillId="0" borderId="0" xfId="0" applyFont="1" applyAlignment="1">
      <alignment horizontal="right"/>
    </xf>
    <xf numFmtId="49" fontId="0" fillId="0" borderId="0" xfId="0" applyNumberFormat="1" applyAlignment="1">
      <alignment horizontal="right" vertical="top"/>
    </xf>
    <xf numFmtId="9" fontId="0" fillId="0" borderId="0" xfId="0" applyNumberFormat="1" applyAlignment="1">
      <alignment horizontal="left" vertical="top"/>
    </xf>
    <xf numFmtId="165" fontId="28" fillId="2" borderId="0" xfId="0" applyNumberFormat="1" applyFont="1" applyFill="1" applyAlignment="1">
      <alignment horizontal="center" vertical="center"/>
    </xf>
    <xf numFmtId="0" fontId="10" fillId="0" borderId="0" xfId="0" applyFont="1" applyAlignment="1">
      <alignment horizontal="left" vertical="top"/>
    </xf>
    <xf numFmtId="9" fontId="24" fillId="0" borderId="0" xfId="0" applyNumberFormat="1" applyFont="1" applyAlignment="1">
      <alignment horizontal="left" vertical="top"/>
    </xf>
    <xf numFmtId="0" fontId="23" fillId="0" borderId="0" xfId="0" applyFont="1" applyAlignment="1">
      <alignment horizontal="center" vertical="center"/>
    </xf>
    <xf numFmtId="0" fontId="0" fillId="0" borderId="0" xfId="0" applyAlignment="1">
      <alignment horizontal="left" vertical="top"/>
    </xf>
    <xf numFmtId="0" fontId="4" fillId="0" borderId="0" xfId="0" applyFont="1" applyAlignment="1">
      <alignment vertical="top"/>
    </xf>
    <xf numFmtId="0" fontId="20" fillId="0" borderId="0" xfId="3" applyFont="1" applyFill="1" applyBorder="1" applyAlignment="1" applyProtection="1">
      <protection locked="0"/>
    </xf>
    <xf numFmtId="0" fontId="36" fillId="0" borderId="0" xfId="3" applyFont="1" applyFill="1" applyBorder="1" applyAlignment="1" applyProtection="1">
      <protection locked="0"/>
    </xf>
    <xf numFmtId="0" fontId="0" fillId="0" borderId="0" xfId="0" applyAlignment="1" applyProtection="1">
      <alignment horizontal="center" vertical="center"/>
      <protection locked="0"/>
    </xf>
    <xf numFmtId="0" fontId="11" fillId="0" borderId="0" xfId="0" applyFont="1" applyAlignment="1" applyProtection="1">
      <alignment vertical="center"/>
      <protection locked="0"/>
    </xf>
    <xf numFmtId="49" fontId="0" fillId="0" borderId="8" xfId="0" applyNumberFormat="1" applyBorder="1" applyProtection="1">
      <protection locked="0"/>
    </xf>
    <xf numFmtId="0" fontId="7" fillId="0" borderId="0" xfId="0" applyFont="1" applyAlignment="1" applyProtection="1">
      <alignment horizontal="left"/>
      <protection locked="0"/>
    </xf>
    <xf numFmtId="166" fontId="53" fillId="0" borderId="5" xfId="0" applyNumberFormat="1" applyFont="1" applyBorder="1" applyAlignment="1" applyProtection="1">
      <alignment horizontal="center"/>
      <protection locked="0"/>
    </xf>
    <xf numFmtId="0" fontId="21" fillId="0" borderId="0" xfId="0" applyFont="1" applyAlignment="1" applyProtection="1">
      <alignment vertical="center"/>
      <protection locked="0"/>
    </xf>
    <xf numFmtId="0" fontId="18" fillId="0" borderId="0" xfId="0" applyFont="1" applyAlignment="1" applyProtection="1">
      <alignment horizontal="center"/>
      <protection locked="0"/>
    </xf>
    <xf numFmtId="49" fontId="16" fillId="0" borderId="0" xfId="0" applyNumberFormat="1" applyFont="1" applyAlignment="1" applyProtection="1">
      <alignment horizontal="center" vertical="top" wrapText="1"/>
      <protection locked="0"/>
    </xf>
    <xf numFmtId="1" fontId="7" fillId="0" borderId="14" xfId="0" applyNumberFormat="1" applyFont="1" applyBorder="1" applyAlignment="1" applyProtection="1">
      <alignment horizontal="center" vertical="center"/>
      <protection locked="0"/>
    </xf>
    <xf numFmtId="0" fontId="17" fillId="0" borderId="12" xfId="0" applyFont="1" applyBorder="1" applyAlignment="1" applyProtection="1">
      <alignment horizontal="center" vertical="center" wrapText="1"/>
      <protection locked="0"/>
    </xf>
    <xf numFmtId="0" fontId="17" fillId="0" borderId="12" xfId="0" applyFont="1" applyBorder="1" applyAlignment="1" applyProtection="1">
      <alignment horizontal="center" vertical="center"/>
      <protection locked="0"/>
    </xf>
    <xf numFmtId="0" fontId="21" fillId="0" borderId="0" xfId="0" applyFont="1" applyAlignment="1" applyProtection="1">
      <alignment horizontal="right" vertical="center"/>
      <protection locked="0"/>
    </xf>
    <xf numFmtId="49" fontId="0" fillId="0" borderId="1" xfId="0" applyNumberFormat="1" applyBorder="1" applyProtection="1">
      <protection locked="0"/>
    </xf>
    <xf numFmtId="0" fontId="20" fillId="0" borderId="1" xfId="0" applyFont="1" applyBorder="1" applyAlignment="1" applyProtection="1">
      <alignment vertical="top"/>
      <protection locked="0"/>
    </xf>
    <xf numFmtId="166" fontId="48" fillId="3" borderId="15" xfId="0" applyNumberFormat="1" applyFont="1" applyFill="1" applyBorder="1" applyAlignment="1" applyProtection="1">
      <alignment horizontal="center" vertical="center"/>
      <protection locked="0"/>
    </xf>
    <xf numFmtId="0" fontId="18" fillId="0" borderId="0" xfId="0" applyFont="1" applyAlignment="1" applyProtection="1">
      <alignment horizontal="left"/>
      <protection locked="0"/>
    </xf>
    <xf numFmtId="0" fontId="22" fillId="0" borderId="0" xfId="0" applyFont="1" applyAlignment="1" applyProtection="1">
      <alignment horizontal="left"/>
      <protection locked="0"/>
    </xf>
    <xf numFmtId="0" fontId="3" fillId="0" borderId="0" xfId="0" applyFont="1" applyAlignment="1" applyProtection="1">
      <alignment vertical="top"/>
      <protection locked="0"/>
    </xf>
    <xf numFmtId="0" fontId="0" fillId="0" borderId="0" xfId="0" applyAlignment="1">
      <alignment horizontal="left" vertical="top" wrapText="1"/>
    </xf>
    <xf numFmtId="0" fontId="3" fillId="0" borderId="0" xfId="0" applyFont="1" applyAlignment="1">
      <alignment horizontal="left" vertical="top" wrapText="1"/>
    </xf>
    <xf numFmtId="0" fontId="4" fillId="0" borderId="0" xfId="0" applyFont="1" applyAlignment="1">
      <alignment vertical="top" wrapText="1"/>
    </xf>
    <xf numFmtId="4" fontId="10" fillId="0" borderId="0" xfId="0" applyNumberFormat="1" applyFont="1" applyProtection="1">
      <protection locked="0"/>
    </xf>
    <xf numFmtId="0" fontId="19" fillId="0" borderId="0" xfId="0" applyFont="1" applyAlignment="1" applyProtection="1">
      <alignment horizontal="left" vertical="center" wrapText="1"/>
      <protection locked="0"/>
    </xf>
    <xf numFmtId="0" fontId="15" fillId="0" borderId="0" xfId="0" applyFont="1" applyAlignment="1" applyProtection="1">
      <alignment horizontal="left"/>
      <protection locked="0"/>
    </xf>
    <xf numFmtId="0" fontId="13" fillId="0" borderId="0" xfId="0" applyFont="1" applyAlignment="1" applyProtection="1">
      <alignment horizontal="left"/>
      <protection locked="0"/>
    </xf>
    <xf numFmtId="4" fontId="3" fillId="0" borderId="0" xfId="1" applyNumberFormat="1" applyFont="1" applyBorder="1" applyAlignment="1" applyProtection="1">
      <alignment horizontal="right"/>
    </xf>
    <xf numFmtId="0" fontId="0" fillId="0" borderId="0" xfId="0" applyAlignment="1">
      <alignment horizontal="left" vertical="center" wrapText="1"/>
    </xf>
    <xf numFmtId="4" fontId="2" fillId="0" borderId="0" xfId="1" applyNumberFormat="1" applyFont="1" applyBorder="1" applyAlignment="1" applyProtection="1">
      <alignment horizontal="right"/>
      <protection locked="0"/>
    </xf>
    <xf numFmtId="4" fontId="2" fillId="0" borderId="2" xfId="1" applyNumberFormat="1" applyFont="1" applyBorder="1" applyAlignment="1" applyProtection="1">
      <alignment horizontal="right"/>
      <protection locked="0"/>
    </xf>
    <xf numFmtId="9" fontId="27" fillId="0" borderId="1" xfId="0" applyNumberFormat="1" applyFont="1" applyBorder="1" applyAlignment="1" applyProtection="1">
      <alignment horizontal="center" vertical="top"/>
      <protection locked="0"/>
    </xf>
    <xf numFmtId="0" fontId="52" fillId="0" borderId="3" xfId="0" applyFont="1" applyBorder="1" applyAlignment="1" applyProtection="1">
      <alignment horizontal="center" wrapText="1"/>
      <protection locked="0"/>
    </xf>
    <xf numFmtId="0" fontId="47" fillId="0" borderId="3" xfId="0" applyFont="1" applyBorder="1" applyAlignment="1" applyProtection="1">
      <alignment horizontal="left" wrapText="1"/>
      <protection locked="0"/>
    </xf>
    <xf numFmtId="0" fontId="38" fillId="0" borderId="3" xfId="4" applyFont="1" applyBorder="1" applyAlignment="1" applyProtection="1">
      <alignment horizontal="center" vertical="center"/>
      <protection locked="0"/>
    </xf>
    <xf numFmtId="4" fontId="40" fillId="0" borderId="3" xfId="0" applyNumberFormat="1" applyFont="1" applyBorder="1" applyAlignment="1" applyProtection="1">
      <alignment horizontal="right" vertical="center"/>
      <protection locked="0"/>
    </xf>
    <xf numFmtId="4" fontId="39" fillId="0" borderId="3" xfId="2" applyNumberFormat="1" applyFont="1" applyFill="1" applyBorder="1" applyAlignment="1" applyProtection="1">
      <alignment vertical="center"/>
    </xf>
    <xf numFmtId="1" fontId="7" fillId="4" borderId="11" xfId="0" applyNumberFormat="1" applyFont="1" applyFill="1" applyBorder="1" applyAlignment="1" applyProtection="1">
      <alignment horizontal="center" vertical="center"/>
      <protection locked="0"/>
    </xf>
    <xf numFmtId="0" fontId="7" fillId="4" borderId="13" xfId="0" applyFont="1" applyFill="1" applyBorder="1" applyAlignment="1" applyProtection="1">
      <alignment horizontal="center" vertical="center" wrapText="1"/>
      <protection locked="0"/>
    </xf>
    <xf numFmtId="0" fontId="7" fillId="4" borderId="13" xfId="0" applyFont="1" applyFill="1" applyBorder="1" applyAlignment="1" applyProtection="1">
      <alignment horizontal="left" vertical="center" wrapText="1"/>
      <protection locked="0"/>
    </xf>
    <xf numFmtId="0" fontId="7" fillId="4" borderId="13" xfId="4" applyFont="1" applyFill="1" applyBorder="1" applyAlignment="1" applyProtection="1">
      <alignment horizontal="center" vertical="center"/>
      <protection locked="0"/>
    </xf>
    <xf numFmtId="4" fontId="7" fillId="4" borderId="13" xfId="0" applyNumberFormat="1" applyFont="1" applyFill="1" applyBorder="1" applyAlignment="1" applyProtection="1">
      <alignment vertical="center"/>
      <protection locked="0"/>
    </xf>
    <xf numFmtId="49" fontId="37" fillId="0" borderId="3" xfId="0" applyNumberFormat="1" applyFont="1" applyBorder="1" applyAlignment="1" applyProtection="1">
      <alignment horizontal="center" vertical="top"/>
      <protection locked="0"/>
    </xf>
    <xf numFmtId="0" fontId="10" fillId="0" borderId="8" xfId="0" applyFont="1" applyBorder="1" applyAlignment="1">
      <alignment horizontal="center"/>
    </xf>
    <xf numFmtId="0" fontId="50" fillId="0" borderId="9" xfId="3" applyNumberFormat="1" applyFont="1" applyBorder="1" applyAlignment="1" applyProtection="1">
      <alignment horizontal="center"/>
    </xf>
    <xf numFmtId="0" fontId="10" fillId="0" borderId="9" xfId="0" applyFont="1" applyBorder="1" applyAlignment="1">
      <alignment horizontal="center"/>
    </xf>
    <xf numFmtId="166" fontId="10" fillId="0" borderId="4" xfId="3" applyNumberFormat="1" applyFont="1" applyFill="1" applyBorder="1" applyAlignment="1" applyProtection="1">
      <alignment horizontal="center"/>
    </xf>
    <xf numFmtId="0" fontId="26" fillId="0" borderId="0" xfId="0" applyFont="1"/>
    <xf numFmtId="0" fontId="25" fillId="0" borderId="1" xfId="0" applyFont="1" applyBorder="1" applyAlignment="1" applyProtection="1">
      <alignment horizontal="left" vertical="center" wrapText="1"/>
      <protection locked="0"/>
    </xf>
    <xf numFmtId="0" fontId="25" fillId="0" borderId="0" xfId="0" applyFont="1" applyAlignment="1">
      <alignment horizontal="left" vertical="center" wrapText="1"/>
    </xf>
    <xf numFmtId="0" fontId="25" fillId="0" borderId="0" xfId="0" applyFont="1" applyAlignment="1">
      <alignment horizontal="right" vertical="center" wrapText="1"/>
    </xf>
    <xf numFmtId="4" fontId="0" fillId="0" borderId="0" xfId="1" applyNumberFormat="1" applyFont="1" applyBorder="1" applyAlignment="1" applyProtection="1">
      <alignment horizontal="right"/>
    </xf>
    <xf numFmtId="167" fontId="2" fillId="0" borderId="0" xfId="1" applyNumberFormat="1" applyFont="1" applyBorder="1" applyAlignment="1" applyProtection="1">
      <alignment horizontal="right"/>
    </xf>
    <xf numFmtId="0" fontId="7" fillId="4" borderId="13" xfId="7" applyFont="1" applyFill="1" applyBorder="1" applyAlignment="1" applyProtection="1">
      <alignment horizontal="center" vertical="center" wrapText="1"/>
      <protection locked="0"/>
    </xf>
    <xf numFmtId="0" fontId="7" fillId="4" borderId="13" xfId="7" applyFont="1" applyFill="1" applyBorder="1" applyAlignment="1" applyProtection="1">
      <alignment horizontal="left" vertical="center" wrapText="1"/>
      <protection locked="0"/>
    </xf>
    <xf numFmtId="4" fontId="7" fillId="4" borderId="13" xfId="7" applyNumberFormat="1" applyFont="1" applyFill="1" applyBorder="1" applyAlignment="1" applyProtection="1">
      <alignment vertical="center"/>
      <protection locked="0"/>
    </xf>
    <xf numFmtId="49" fontId="10" fillId="0" borderId="6" xfId="0" applyNumberFormat="1" applyFont="1" applyBorder="1" applyProtection="1">
      <protection locked="0"/>
    </xf>
    <xf numFmtId="0" fontId="0" fillId="0" borderId="6" xfId="0" applyBorder="1" applyProtection="1">
      <protection locked="0"/>
    </xf>
    <xf numFmtId="44" fontId="3" fillId="0" borderId="6" xfId="2" applyFont="1" applyBorder="1" applyAlignment="1" applyProtection="1">
      <alignment horizontal="right"/>
      <protection locked="0"/>
    </xf>
    <xf numFmtId="44" fontId="3" fillId="0" borderId="6" xfId="2" applyFont="1" applyBorder="1" applyProtection="1">
      <protection locked="0"/>
    </xf>
    <xf numFmtId="0" fontId="7" fillId="0" borderId="0" xfId="0" applyFont="1" applyProtection="1">
      <protection locked="0"/>
    </xf>
    <xf numFmtId="0" fontId="17" fillId="4" borderId="19" xfId="0" applyFont="1" applyFill="1" applyBorder="1" applyAlignment="1">
      <alignment horizontal="center" vertical="center"/>
    </xf>
    <xf numFmtId="0" fontId="17" fillId="0" borderId="0" xfId="0" applyFont="1" applyAlignment="1" applyProtection="1">
      <alignment horizontal="center" vertical="center"/>
      <protection locked="0"/>
    </xf>
    <xf numFmtId="4" fontId="2" fillId="4" borderId="20" xfId="2" applyNumberFormat="1" applyFont="1" applyFill="1" applyBorder="1" applyAlignment="1" applyProtection="1">
      <alignment vertical="center"/>
    </xf>
    <xf numFmtId="0" fontId="0" fillId="5" borderId="0" xfId="0" applyFill="1" applyProtection="1">
      <protection locked="0"/>
    </xf>
    <xf numFmtId="0" fontId="0" fillId="5" borderId="0" xfId="0" applyFill="1" applyAlignment="1" applyProtection="1">
      <alignment vertical="top"/>
      <protection locked="0"/>
    </xf>
    <xf numFmtId="0" fontId="0" fillId="0" borderId="0" xfId="0" applyAlignment="1">
      <alignment horizontal="left" vertical="top" wrapText="1"/>
    </xf>
    <xf numFmtId="0" fontId="0" fillId="0" borderId="0" xfId="0" applyAlignment="1" applyProtection="1">
      <alignment horizontal="center"/>
      <protection locked="0"/>
    </xf>
    <xf numFmtId="0" fontId="54" fillId="0" borderId="8" xfId="0" applyFont="1" applyBorder="1" applyAlignment="1">
      <alignment horizontal="center"/>
    </xf>
    <xf numFmtId="0" fontId="54" fillId="0" borderId="0" xfId="0" applyFont="1" applyAlignment="1">
      <alignment horizontal="center"/>
    </xf>
    <xf numFmtId="0" fontId="10" fillId="0" borderId="8" xfId="3" applyNumberFormat="1" applyFont="1" applyFill="1" applyBorder="1" applyAlignment="1" applyProtection="1">
      <alignment horizontal="center"/>
    </xf>
    <xf numFmtId="0" fontId="10" fillId="0" borderId="0" xfId="3" applyNumberFormat="1" applyFont="1" applyFill="1" applyBorder="1" applyAlignment="1" applyProtection="1">
      <alignment horizontal="center"/>
    </xf>
    <xf numFmtId="164" fontId="55" fillId="0" borderId="0" xfId="0" applyNumberFormat="1" applyFont="1" applyAlignment="1" applyProtection="1">
      <alignment horizontal="left"/>
      <protection locked="0"/>
    </xf>
    <xf numFmtId="0" fontId="25" fillId="0" borderId="1" xfId="0" applyFont="1" applyBorder="1" applyAlignment="1">
      <alignment horizontal="right" vertical="center" wrapText="1"/>
    </xf>
    <xf numFmtId="0" fontId="49" fillId="3" borderId="16" xfId="0" applyFont="1" applyFill="1" applyBorder="1" applyAlignment="1" applyProtection="1">
      <alignment horizontal="center" vertical="center"/>
      <protection locked="0"/>
    </xf>
    <xf numFmtId="0" fontId="49" fillId="3" borderId="10" xfId="0" applyFont="1" applyFill="1" applyBorder="1" applyAlignment="1" applyProtection="1">
      <alignment horizontal="center" vertical="center"/>
      <protection locked="0"/>
    </xf>
    <xf numFmtId="0" fontId="18" fillId="0" borderId="8" xfId="3" applyNumberFormat="1" applyFont="1" applyBorder="1" applyAlignment="1" applyProtection="1">
      <alignment horizontal="center"/>
    </xf>
    <xf numFmtId="0" fontId="18" fillId="0" borderId="0" xfId="3" applyNumberFormat="1" applyFont="1" applyBorder="1" applyAlignment="1" applyProtection="1">
      <alignment horizontal="center"/>
    </xf>
    <xf numFmtId="166" fontId="18" fillId="0" borderId="6" xfId="0" applyNumberFormat="1" applyFont="1" applyBorder="1" applyAlignment="1">
      <alignment horizontal="center"/>
    </xf>
    <xf numFmtId="166" fontId="48" fillId="3" borderId="16" xfId="0" applyNumberFormat="1" applyFont="1" applyFill="1" applyBorder="1" applyAlignment="1" applyProtection="1">
      <alignment horizontal="left" vertical="center"/>
      <protection locked="0"/>
    </xf>
    <xf numFmtId="166" fontId="48" fillId="3" borderId="10" xfId="0" applyNumberFormat="1" applyFont="1" applyFill="1" applyBorder="1" applyAlignment="1" applyProtection="1">
      <alignment horizontal="left" vertical="center"/>
      <protection locked="0"/>
    </xf>
    <xf numFmtId="0" fontId="18" fillId="0" borderId="8" xfId="0" applyFont="1" applyBorder="1" applyAlignment="1">
      <alignment horizontal="center"/>
    </xf>
    <xf numFmtId="0" fontId="18" fillId="0" borderId="0" xfId="0" applyFont="1" applyAlignment="1">
      <alignment horizontal="center"/>
    </xf>
    <xf numFmtId="0" fontId="10" fillId="0" borderId="0" xfId="0" applyFont="1" applyAlignment="1">
      <alignment horizontal="left"/>
    </xf>
    <xf numFmtId="0" fontId="10" fillId="0" borderId="8" xfId="0" applyFont="1" applyBorder="1" applyAlignment="1">
      <alignment horizontal="center"/>
    </xf>
    <xf numFmtId="0" fontId="10" fillId="0" borderId="7" xfId="0" applyFont="1" applyBorder="1" applyAlignment="1">
      <alignment horizontal="center"/>
    </xf>
    <xf numFmtId="0" fontId="10" fillId="0" borderId="0" xfId="0" applyFont="1" applyAlignment="1">
      <alignment horizontal="center"/>
    </xf>
    <xf numFmtId="49" fontId="10" fillId="0" borderId="0" xfId="0" applyNumberFormat="1" applyFont="1" applyAlignment="1">
      <alignment horizontal="left" indent="2"/>
    </xf>
    <xf numFmtId="0" fontId="10" fillId="0" borderId="1" xfId="0" applyFont="1" applyBorder="1" applyAlignment="1" applyProtection="1">
      <alignment horizontal="left" vertical="top" wrapText="1"/>
      <protection locked="0"/>
    </xf>
    <xf numFmtId="0" fontId="3" fillId="0" borderId="0" xfId="0" applyFont="1" applyAlignment="1">
      <alignment horizontal="left" vertical="top" wrapText="1"/>
    </xf>
    <xf numFmtId="0" fontId="42" fillId="0" borderId="0" xfId="0" applyFont="1" applyAlignment="1">
      <alignment horizontal="center" vertical="top" wrapText="1"/>
    </xf>
    <xf numFmtId="0" fontId="0" fillId="0" borderId="0" xfId="0" applyAlignment="1">
      <alignment horizontal="left" vertical="top"/>
    </xf>
    <xf numFmtId="0" fontId="12" fillId="0" borderId="0" xfId="0" applyFont="1" applyAlignment="1">
      <alignment horizontal="center" vertical="top" wrapText="1"/>
    </xf>
    <xf numFmtId="0" fontId="0" fillId="0" borderId="0" xfId="0" applyAlignment="1">
      <alignment vertical="top" wrapText="1"/>
    </xf>
    <xf numFmtId="0" fontId="0" fillId="0" borderId="0" xfId="0" applyAlignment="1">
      <alignment horizontal="left" vertical="center" wrapText="1"/>
    </xf>
    <xf numFmtId="0" fontId="0" fillId="0" borderId="0" xfId="0" applyAlignment="1">
      <alignment horizontal="center" vertical="top" wrapText="1"/>
    </xf>
    <xf numFmtId="164" fontId="2" fillId="0" borderId="8" xfId="0" applyNumberFormat="1" applyFont="1" applyFill="1" applyBorder="1" applyAlignment="1" applyProtection="1">
      <alignment horizontal="left"/>
      <protection locked="0"/>
    </xf>
    <xf numFmtId="0" fontId="0" fillId="0" borderId="8" xfId="0" applyFill="1" applyBorder="1" applyAlignment="1" applyProtection="1">
      <alignment horizontal="center" vertical="center"/>
      <protection locked="0"/>
    </xf>
    <xf numFmtId="0" fontId="0" fillId="0" borderId="8" xfId="0" applyFill="1" applyBorder="1" applyAlignment="1" applyProtection="1">
      <alignment horizontal="left" vertical="center" wrapText="1"/>
      <protection locked="0"/>
    </xf>
    <xf numFmtId="0" fontId="0" fillId="0" borderId="8" xfId="0" applyFill="1" applyBorder="1" applyAlignment="1">
      <alignment horizontal="left" vertical="center" wrapText="1"/>
    </xf>
    <xf numFmtId="0" fontId="49" fillId="0" borderId="8" xfId="0" applyFont="1" applyFill="1" applyBorder="1" applyAlignment="1" applyProtection="1">
      <alignment horizontal="center" vertical="center"/>
      <protection locked="0"/>
    </xf>
    <xf numFmtId="0" fontId="15" fillId="0" borderId="8" xfId="3" applyNumberFormat="1" applyFont="1" applyFill="1" applyBorder="1" applyAlignment="1" applyProtection="1">
      <alignment horizontal="center"/>
      <protection locked="0"/>
    </xf>
    <xf numFmtId="0" fontId="51" fillId="0" borderId="8" xfId="0" applyFont="1" applyFill="1" applyBorder="1" applyAlignment="1" applyProtection="1">
      <alignment horizontal="center"/>
      <protection locked="0"/>
    </xf>
    <xf numFmtId="0" fontId="50" fillId="0" borderId="8" xfId="3" applyNumberFormat="1" applyFont="1" applyFill="1" applyBorder="1" applyAlignment="1" applyProtection="1">
      <alignment horizontal="center"/>
      <protection locked="0"/>
    </xf>
    <xf numFmtId="0" fontId="7" fillId="0" borderId="8" xfId="0" applyFont="1" applyFill="1" applyBorder="1" applyProtection="1">
      <protection locked="0"/>
    </xf>
    <xf numFmtId="166" fontId="18" fillId="0" borderId="8" xfId="0" applyNumberFormat="1" applyFont="1" applyFill="1" applyBorder="1" applyAlignment="1" applyProtection="1">
      <alignment horizontal="center"/>
      <protection locked="0"/>
    </xf>
    <xf numFmtId="0" fontId="3" fillId="0" borderId="8" xfId="0" applyFont="1" applyFill="1" applyBorder="1" applyAlignment="1" applyProtection="1">
      <alignment horizontal="center"/>
      <protection locked="0"/>
    </xf>
    <xf numFmtId="0" fontId="18" fillId="0" borderId="8" xfId="0" applyFont="1" applyFill="1" applyBorder="1" applyAlignment="1" applyProtection="1">
      <alignment horizontal="center"/>
      <protection locked="0"/>
    </xf>
    <xf numFmtId="0" fontId="0" fillId="0" borderId="8" xfId="0" applyFill="1" applyBorder="1" applyProtection="1">
      <protection locked="0"/>
    </xf>
    <xf numFmtId="0" fontId="0" fillId="0" borderId="8" xfId="0" applyFill="1" applyBorder="1" applyAlignment="1" applyProtection="1">
      <alignment vertical="center"/>
      <protection locked="0"/>
    </xf>
    <xf numFmtId="0" fontId="17" fillId="0" borderId="8" xfId="0" applyFont="1" applyFill="1" applyBorder="1" applyAlignment="1" applyProtection="1">
      <alignment horizontal="center" vertical="center"/>
      <protection locked="0"/>
    </xf>
    <xf numFmtId="4" fontId="2" fillId="0" borderId="8" xfId="2" applyNumberFormat="1" applyFont="1" applyFill="1" applyBorder="1" applyAlignment="1" applyProtection="1">
      <alignment vertical="center"/>
      <protection locked="0"/>
    </xf>
    <xf numFmtId="4" fontId="2" fillId="0" borderId="8" xfId="2" applyNumberFormat="1" applyFont="1" applyFill="1" applyBorder="1" applyAlignment="1" applyProtection="1">
      <alignment vertical="top"/>
      <protection locked="0"/>
    </xf>
    <xf numFmtId="4" fontId="39" fillId="0" borderId="8" xfId="2" applyNumberFormat="1" applyFont="1" applyFill="1" applyBorder="1" applyAlignment="1" applyProtection="1">
      <alignment vertical="center"/>
      <protection locked="0"/>
    </xf>
    <xf numFmtId="4" fontId="2" fillId="0" borderId="8" xfId="1" applyNumberFormat="1" applyFont="1" applyFill="1" applyBorder="1" applyAlignment="1" applyProtection="1">
      <alignment horizontal="right"/>
      <protection locked="0"/>
    </xf>
    <xf numFmtId="10" fontId="2" fillId="0" borderId="8" xfId="1" applyNumberFormat="1" applyFont="1" applyFill="1" applyBorder="1" applyAlignment="1" applyProtection="1">
      <alignment horizontal="right"/>
      <protection locked="0"/>
    </xf>
    <xf numFmtId="4" fontId="3" fillId="0" borderId="8" xfId="1" applyNumberFormat="1" applyFont="1" applyFill="1" applyBorder="1" applyAlignment="1" applyProtection="1">
      <alignment horizontal="right"/>
      <protection locked="0"/>
    </xf>
    <xf numFmtId="44" fontId="3" fillId="0" borderId="8" xfId="2" applyFont="1" applyFill="1" applyBorder="1" applyProtection="1">
      <protection locked="0"/>
    </xf>
    <xf numFmtId="0" fontId="26" fillId="0" borderId="8" xfId="0" applyFont="1" applyFill="1" applyBorder="1" applyAlignment="1" applyProtection="1">
      <alignment horizontal="center"/>
      <protection locked="0"/>
    </xf>
    <xf numFmtId="0" fontId="0" fillId="0" borderId="8" xfId="0" applyFill="1" applyBorder="1" applyAlignment="1" applyProtection="1">
      <alignment horizontal="left" vertical="top" wrapText="1"/>
      <protection locked="0"/>
    </xf>
    <xf numFmtId="165" fontId="28" fillId="0" borderId="8" xfId="0" applyNumberFormat="1" applyFont="1" applyFill="1" applyBorder="1" applyAlignment="1" applyProtection="1">
      <alignment horizontal="center" vertical="center"/>
      <protection locked="0"/>
    </xf>
    <xf numFmtId="0" fontId="23" fillId="0" borderId="8" xfId="0" applyFont="1" applyFill="1" applyBorder="1" applyAlignment="1" applyProtection="1">
      <alignment horizontal="center" vertical="center"/>
      <protection locked="0"/>
    </xf>
    <xf numFmtId="0" fontId="12" fillId="0" borderId="8" xfId="0" applyFont="1" applyFill="1" applyBorder="1" applyAlignment="1" applyProtection="1">
      <alignment horizontal="center" vertical="top" wrapText="1"/>
      <protection locked="0"/>
    </xf>
    <xf numFmtId="0" fontId="3" fillId="0" borderId="8" xfId="0" applyFont="1" applyFill="1" applyBorder="1" applyAlignment="1" applyProtection="1">
      <alignment horizontal="left" vertical="top" wrapText="1"/>
      <protection locked="0"/>
    </xf>
    <xf numFmtId="0" fontId="0" fillId="0" borderId="8" xfId="0" applyFill="1" applyBorder="1" applyAlignment="1" applyProtection="1">
      <alignment vertical="top"/>
      <protection locked="0"/>
    </xf>
    <xf numFmtId="0" fontId="0" fillId="0" borderId="8" xfId="0" applyFill="1" applyBorder="1" applyAlignment="1" applyProtection="1">
      <alignment vertical="top" wrapText="1"/>
      <protection locked="0"/>
    </xf>
    <xf numFmtId="0" fontId="0" fillId="0" borderId="8" xfId="0" applyFill="1" applyBorder="1" applyAlignment="1" applyProtection="1">
      <alignment horizontal="center" vertical="top" wrapText="1"/>
      <protection locked="0"/>
    </xf>
    <xf numFmtId="0" fontId="4" fillId="0" borderId="8" xfId="0" applyFont="1" applyFill="1" applyBorder="1" applyAlignment="1" applyProtection="1">
      <alignment vertical="top" wrapText="1"/>
      <protection locked="0"/>
    </xf>
    <xf numFmtId="0" fontId="0" fillId="0" borderId="0" xfId="0" applyFill="1" applyProtection="1">
      <protection locked="0"/>
    </xf>
    <xf numFmtId="0" fontId="9" fillId="0" borderId="0" xfId="0" applyFont="1" applyFill="1" applyProtection="1">
      <protection locked="0"/>
    </xf>
    <xf numFmtId="0" fontId="10" fillId="0" borderId="0" xfId="0" applyFont="1" applyFill="1" applyProtection="1">
      <protection locked="0"/>
    </xf>
    <xf numFmtId="0" fontId="10" fillId="0" borderId="0" xfId="0" applyFont="1" applyFill="1" applyAlignment="1" applyProtection="1">
      <alignment vertical="center"/>
      <protection locked="0"/>
    </xf>
    <xf numFmtId="0" fontId="2" fillId="0" borderId="0" xfId="0" applyFont="1" applyFill="1" applyProtection="1">
      <protection locked="0"/>
    </xf>
    <xf numFmtId="0" fontId="0" fillId="0" borderId="0" xfId="0" applyFill="1" applyAlignment="1" applyProtection="1">
      <alignment horizontal="left" vertical="top"/>
      <protection locked="0"/>
    </xf>
    <xf numFmtId="0" fontId="0" fillId="0" borderId="0" xfId="0" applyFill="1"/>
  </cellXfs>
  <cellStyles count="8">
    <cellStyle name="Comma" xfId="1" builtinId="3"/>
    <cellStyle name="Currency" xfId="2" builtinId="4"/>
    <cellStyle name="Currency 2" xfId="6" xr:uid="{00000000-0005-0000-0000-000002000000}"/>
    <cellStyle name="Hyperlink" xfId="3" builtinId="8"/>
    <cellStyle name="Normal" xfId="0" builtinId="0"/>
    <cellStyle name="Normal 2" xfId="4" xr:uid="{00000000-0005-0000-0000-000005000000}"/>
    <cellStyle name="Normal 3" xfId="5" xr:uid="{00000000-0005-0000-0000-000006000000}"/>
    <cellStyle name="Normal 4" xfId="7" xr:uid="{00000000-0005-0000-0000-000007000000}"/>
  </cellStyles>
  <dxfs count="0"/>
  <tableStyles count="0" defaultTableStyle="TableStyleMedium2" defaultPivotStyle="PivotStyleLight16"/>
  <colors>
    <mruColors>
      <color rgb="FFCCFF33"/>
      <color rgb="FFE6E6E6"/>
      <color rgb="FF000066"/>
      <color rgb="FFFF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5" Type="http://schemas.openxmlformats.org/officeDocument/2006/relationships/sheetMetadata" Target="metadata.xml"/><Relationship Id="rId10" Type="http://schemas.openxmlformats.org/officeDocument/2006/relationships/calcChain" Target="calcChain.xml"/><Relationship Id="rId4" Type="http://schemas.openxmlformats.org/officeDocument/2006/relationships/sharedStrings" Target="sharedStrings.xml"/><Relationship Id="rId9"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ww.boydsignsystems.com/"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8">
    <tabColor theme="3" tint="-0.249977111117893"/>
  </sheetPr>
  <dimension ref="A1:M490"/>
  <sheetViews>
    <sheetView showGridLines="0" tabSelected="1" topLeftCell="A28" zoomScaleNormal="100" workbookViewId="0">
      <selection activeCell="K34" sqref="K34"/>
    </sheetView>
  </sheetViews>
  <sheetFormatPr defaultColWidth="9.140625" defaultRowHeight="12.75"/>
  <cols>
    <col min="1" max="1" width="4.42578125" style="7" customWidth="1"/>
    <col min="2" max="2" width="18.7109375" style="1" customWidth="1"/>
    <col min="3" max="3" width="50.7109375" style="1" customWidth="1"/>
    <col min="4" max="4" width="8.85546875" style="1" customWidth="1"/>
    <col min="5" max="5" width="11" style="1" customWidth="1"/>
    <col min="6" max="6" width="14.42578125" style="1" customWidth="1"/>
    <col min="7" max="7" width="5.140625" style="176" customWidth="1"/>
    <col min="8" max="8" width="11.140625" style="176" customWidth="1"/>
    <col min="9" max="9" width="7.5703125" style="176" customWidth="1"/>
    <col min="10" max="10" width="5.140625" style="176" customWidth="1"/>
    <col min="11" max="11" width="58" style="176" customWidth="1"/>
    <col min="12" max="12" width="10.5703125" style="176" customWidth="1"/>
    <col min="13" max="13" width="12.85546875" style="176" customWidth="1"/>
    <col min="14" max="14" width="2.7109375" style="1" customWidth="1"/>
    <col min="15" max="15" width="10.5703125" style="1" customWidth="1"/>
    <col min="16" max="16" width="12.85546875" style="1" customWidth="1"/>
    <col min="17" max="17" width="2.7109375" style="1" customWidth="1"/>
    <col min="18" max="18" width="10.5703125" style="1" customWidth="1"/>
    <col min="19" max="19" width="12.85546875" style="1" customWidth="1"/>
    <col min="20" max="20" width="2.7109375" style="1" customWidth="1"/>
    <col min="21" max="29" width="8.85546875" style="1" customWidth="1"/>
    <col min="30" max="16384" width="9.140625" style="1"/>
  </cols>
  <sheetData>
    <row r="1" spans="1:13" ht="20.25" customHeight="1">
      <c r="A1" s="115" t="e" vm="1">
        <v>#VALUE!</v>
      </c>
      <c r="B1" s="115"/>
      <c r="C1" s="115"/>
      <c r="D1" s="115"/>
      <c r="E1" s="115"/>
      <c r="F1" s="115"/>
      <c r="G1" s="144"/>
    </row>
    <row r="2" spans="1:13" ht="12.6" customHeight="1">
      <c r="A2" s="115"/>
      <c r="B2" s="115"/>
      <c r="C2" s="115"/>
      <c r="D2" s="115"/>
      <c r="E2" s="115"/>
      <c r="F2" s="115"/>
      <c r="G2" s="144"/>
    </row>
    <row r="3" spans="1:13" ht="17.100000000000001" customHeight="1">
      <c r="A3" s="115"/>
      <c r="B3" s="115"/>
      <c r="C3" s="115"/>
      <c r="D3" s="115"/>
      <c r="E3" s="115"/>
      <c r="F3" s="115"/>
      <c r="G3" s="144"/>
    </row>
    <row r="4" spans="1:13" ht="12.2" customHeight="1">
      <c r="A4" s="115"/>
      <c r="B4" s="115"/>
      <c r="C4" s="115"/>
      <c r="D4" s="115"/>
      <c r="E4" s="115"/>
      <c r="F4" s="115"/>
      <c r="G4" s="144"/>
    </row>
    <row r="5" spans="1:13" ht="15" customHeight="1">
      <c r="B5" s="48" t="s">
        <v>31</v>
      </c>
      <c r="C5" s="49"/>
      <c r="D5" s="23" t="s">
        <v>0</v>
      </c>
      <c r="E5" s="120"/>
      <c r="F5" s="120"/>
      <c r="G5" s="144"/>
    </row>
    <row r="6" spans="1:13" ht="11.45" customHeight="1">
      <c r="C6" s="55"/>
      <c r="D6" s="50"/>
      <c r="E6" s="50"/>
      <c r="F6" s="50"/>
      <c r="G6" s="145"/>
    </row>
    <row r="7" spans="1:13" ht="12.2" customHeight="1">
      <c r="B7" s="51"/>
      <c r="C7" s="61"/>
      <c r="D7" s="20"/>
      <c r="E7" s="33"/>
      <c r="F7" s="37"/>
      <c r="G7" s="144"/>
    </row>
    <row r="8" spans="1:13" ht="18.75" customHeight="1">
      <c r="A8" s="62"/>
      <c r="B8" s="63" t="s">
        <v>55</v>
      </c>
      <c r="C8" s="63"/>
      <c r="D8" s="121"/>
      <c r="E8" s="121"/>
      <c r="F8" s="96"/>
      <c r="G8" s="146"/>
    </row>
    <row r="9" spans="1:13" customFormat="1" ht="18.75" hidden="1" customHeight="1">
      <c r="A9" s="4"/>
      <c r="B9" s="5"/>
      <c r="C9" s="5"/>
      <c r="D9" s="98"/>
      <c r="E9" s="98"/>
      <c r="F9" s="97"/>
      <c r="G9" s="147"/>
      <c r="H9" s="176"/>
      <c r="I9" s="182"/>
      <c r="J9" s="182"/>
      <c r="K9" s="182"/>
      <c r="L9" s="182"/>
      <c r="M9" s="182"/>
    </row>
    <row r="10" spans="1:13" s="8" customFormat="1" ht="15.75" customHeight="1">
      <c r="A10" s="127" t="s">
        <v>48</v>
      </c>
      <c r="B10" s="128"/>
      <c r="C10" s="64" t="s">
        <v>47</v>
      </c>
      <c r="D10" s="122" t="s">
        <v>50</v>
      </c>
      <c r="E10" s="123"/>
      <c r="F10" s="123"/>
      <c r="G10" s="148"/>
      <c r="H10" s="177"/>
      <c r="I10" s="177"/>
      <c r="J10" s="177"/>
      <c r="K10" s="177"/>
      <c r="L10" s="177"/>
      <c r="M10" s="177"/>
    </row>
    <row r="11" spans="1:13" s="8" customFormat="1" ht="14.25" customHeight="1">
      <c r="A11" s="129"/>
      <c r="B11" s="130"/>
      <c r="C11" s="21"/>
      <c r="D11" s="124"/>
      <c r="E11" s="125"/>
      <c r="F11" s="125"/>
      <c r="G11" s="149"/>
      <c r="H11" s="177"/>
      <c r="I11" s="177"/>
      <c r="J11" s="177"/>
      <c r="K11" s="177"/>
      <c r="L11" s="177"/>
      <c r="M11" s="177"/>
    </row>
    <row r="12" spans="1:13" s="8" customFormat="1" ht="14.25" customHeight="1">
      <c r="A12" s="132"/>
      <c r="B12" s="133"/>
      <c r="C12" s="91"/>
      <c r="D12" s="116"/>
      <c r="E12" s="117"/>
      <c r="F12" s="117"/>
      <c r="G12" s="150"/>
      <c r="H12" s="177"/>
      <c r="I12" s="177"/>
      <c r="J12" s="177"/>
      <c r="K12" s="177"/>
      <c r="L12" s="177"/>
      <c r="M12" s="177"/>
    </row>
    <row r="13" spans="1:13" s="8" customFormat="1" ht="14.25" customHeight="1">
      <c r="A13" s="132"/>
      <c r="B13" s="134"/>
      <c r="C13" s="92"/>
      <c r="D13" s="116"/>
      <c r="E13" s="117"/>
      <c r="F13" s="117"/>
      <c r="G13" s="150"/>
      <c r="H13" s="177"/>
      <c r="I13" s="177"/>
      <c r="J13" s="177"/>
      <c r="K13" s="177"/>
      <c r="L13" s="177"/>
      <c r="M13" s="177"/>
    </row>
    <row r="14" spans="1:13" s="8" customFormat="1" ht="14.25" customHeight="1">
      <c r="A14" s="132"/>
      <c r="B14" s="134"/>
      <c r="C14" s="92"/>
      <c r="D14" s="118"/>
      <c r="E14" s="119"/>
      <c r="F14" s="119"/>
      <c r="G14" s="149"/>
      <c r="H14" s="177"/>
      <c r="I14" s="177"/>
      <c r="J14" s="177"/>
      <c r="K14" s="177"/>
      <c r="L14" s="177"/>
      <c r="M14" s="177"/>
    </row>
    <row r="15" spans="1:13" s="8" customFormat="1" ht="14.25" customHeight="1">
      <c r="A15" s="132"/>
      <c r="B15" s="134"/>
      <c r="C15" s="93"/>
      <c r="D15" s="118"/>
      <c r="E15" s="119"/>
      <c r="F15" s="119"/>
      <c r="G15" s="149"/>
      <c r="H15" s="177"/>
      <c r="I15" s="177"/>
      <c r="J15" s="177"/>
      <c r="K15" s="177"/>
      <c r="L15" s="177"/>
      <c r="M15" s="177"/>
    </row>
    <row r="16" spans="1:13" s="8" customFormat="1" ht="14.25" customHeight="1">
      <c r="A16" s="132"/>
      <c r="B16" s="134"/>
      <c r="C16" s="91"/>
      <c r="D16" s="116"/>
      <c r="E16" s="117"/>
      <c r="F16" s="117"/>
      <c r="G16" s="151"/>
      <c r="H16" s="177"/>
      <c r="I16" s="177"/>
      <c r="J16" s="177"/>
      <c r="K16" s="177"/>
      <c r="L16" s="177"/>
      <c r="M16" s="177"/>
    </row>
    <row r="17" spans="1:13" s="8" customFormat="1" ht="14.25" customHeight="1">
      <c r="A17" s="132"/>
      <c r="B17" s="134"/>
      <c r="C17" s="94"/>
      <c r="D17" s="116"/>
      <c r="E17" s="117"/>
      <c r="F17" s="117"/>
      <c r="G17" s="151"/>
      <c r="H17" s="177"/>
      <c r="I17" s="177"/>
      <c r="J17" s="177"/>
      <c r="K17" s="177"/>
      <c r="L17" s="177"/>
      <c r="M17" s="177"/>
    </row>
    <row r="18" spans="1:13" ht="12.75" hidden="1" customHeight="1">
      <c r="A18" s="52"/>
      <c r="B18" s="2"/>
      <c r="C18" s="2"/>
      <c r="D18" s="53"/>
      <c r="E18" s="53"/>
      <c r="F18" s="108"/>
      <c r="G18" s="152"/>
    </row>
    <row r="19" spans="1:13" s="8" customFormat="1" ht="14.25" customHeight="1">
      <c r="A19" s="54"/>
      <c r="B19" s="126"/>
      <c r="C19" s="126"/>
      <c r="D19" s="126"/>
      <c r="E19" s="126"/>
      <c r="F19" s="126"/>
      <c r="G19" s="153"/>
      <c r="H19" s="177"/>
      <c r="I19" s="177"/>
      <c r="J19" s="177"/>
      <c r="K19" s="177"/>
      <c r="L19" s="177"/>
      <c r="M19" s="177"/>
    </row>
    <row r="20" spans="1:13" ht="4.7" customHeight="1">
      <c r="A20" s="24"/>
      <c r="B20" s="24"/>
      <c r="C20" s="24"/>
      <c r="D20" s="24"/>
      <c r="E20" s="24"/>
      <c r="F20" s="24"/>
      <c r="G20" s="154"/>
    </row>
    <row r="21" spans="1:13" s="9" customFormat="1" ht="14.45" customHeight="1">
      <c r="A21" s="65" t="s">
        <v>64</v>
      </c>
      <c r="B21" s="65"/>
      <c r="C21" s="1"/>
      <c r="D21" s="1"/>
      <c r="E21" s="66"/>
      <c r="F21" s="56"/>
      <c r="G21" s="155"/>
      <c r="H21" s="178"/>
      <c r="I21" s="178"/>
      <c r="J21" s="178"/>
      <c r="K21" s="178"/>
      <c r="L21" s="178"/>
      <c r="M21" s="178"/>
    </row>
    <row r="22" spans="1:13" ht="11.45" customHeight="1">
      <c r="A22" s="135" t="s">
        <v>10</v>
      </c>
      <c r="B22" s="135"/>
      <c r="C22" s="131"/>
      <c r="D22" s="131"/>
      <c r="E22" s="131"/>
      <c r="F22" s="131"/>
      <c r="G22" s="156"/>
    </row>
    <row r="23" spans="1:13" ht="11.45" customHeight="1">
      <c r="A23" s="135" t="s">
        <v>35</v>
      </c>
      <c r="B23" s="135"/>
      <c r="C23" s="131"/>
      <c r="D23" s="131"/>
      <c r="E23" s="131"/>
      <c r="F23" s="131"/>
      <c r="G23" s="156"/>
    </row>
    <row r="24" spans="1:13" ht="9" customHeight="1">
      <c r="B24" s="25"/>
      <c r="G24" s="156"/>
    </row>
    <row r="25" spans="1:13" ht="19.5" customHeight="1">
      <c r="A25" s="67" t="s">
        <v>11</v>
      </c>
      <c r="B25" s="57"/>
      <c r="C25" s="136"/>
      <c r="D25" s="136"/>
      <c r="E25" s="136"/>
      <c r="F25" s="136"/>
      <c r="G25" s="157"/>
    </row>
    <row r="26" spans="1:13" s="10" customFormat="1" ht="24.75" customHeight="1">
      <c r="A26" s="27" t="s">
        <v>1</v>
      </c>
      <c r="B26" s="28" t="s">
        <v>2</v>
      </c>
      <c r="C26" s="29" t="s">
        <v>3</v>
      </c>
      <c r="D26" s="29" t="s">
        <v>4</v>
      </c>
      <c r="E26" s="30" t="s">
        <v>9</v>
      </c>
      <c r="F26" s="109" t="s">
        <v>5</v>
      </c>
      <c r="G26" s="158"/>
      <c r="H26" s="179"/>
      <c r="I26" s="179"/>
      <c r="J26" s="179"/>
      <c r="K26" s="179"/>
      <c r="L26" s="179"/>
      <c r="M26" s="179"/>
    </row>
    <row r="27" spans="1:13" s="10" customFormat="1" ht="1.5" hidden="1" customHeight="1">
      <c r="A27" s="58">
        <v>0</v>
      </c>
      <c r="B27" s="59"/>
      <c r="C27" s="31"/>
      <c r="D27" s="60"/>
      <c r="E27" s="59"/>
      <c r="F27" s="110"/>
      <c r="G27" s="158"/>
      <c r="H27" s="179"/>
      <c r="I27" s="179"/>
      <c r="J27" s="179"/>
      <c r="K27" s="179"/>
      <c r="L27" s="179"/>
      <c r="M27" s="179"/>
    </row>
    <row r="28" spans="1:13">
      <c r="A28" s="85">
        <f>+A27+1</f>
        <v>1</v>
      </c>
      <c r="B28" s="86"/>
      <c r="C28" s="87"/>
      <c r="D28" s="88"/>
      <c r="E28" s="89"/>
      <c r="F28" s="111" t="str">
        <f>IF(D28&lt;&gt;"",D28*E28," ")</f>
        <v xml:space="preserve"> </v>
      </c>
      <c r="G28" s="159"/>
    </row>
    <row r="29" spans="1:13">
      <c r="A29" s="85">
        <f t="shared" ref="A29:A47" si="0">+A28+1</f>
        <v>2</v>
      </c>
      <c r="B29" s="101"/>
      <c r="C29" s="102"/>
      <c r="D29" s="88"/>
      <c r="E29" s="103"/>
      <c r="F29" s="111" t="str">
        <f t="shared" ref="F29:F44" si="1">IF(D29&lt;&gt;"",D29*E29," ")</f>
        <v xml:space="preserve"> </v>
      </c>
      <c r="G29" s="159"/>
    </row>
    <row r="30" spans="1:13">
      <c r="A30" s="85">
        <f t="shared" si="0"/>
        <v>3</v>
      </c>
      <c r="B30" s="101"/>
      <c r="C30" s="102"/>
      <c r="D30" s="88"/>
      <c r="E30" s="103"/>
      <c r="F30" s="111" t="str">
        <f t="shared" si="1"/>
        <v xml:space="preserve"> </v>
      </c>
      <c r="G30" s="159"/>
    </row>
    <row r="31" spans="1:13">
      <c r="A31" s="85">
        <f t="shared" si="0"/>
        <v>4</v>
      </c>
      <c r="B31" s="101"/>
      <c r="C31" s="102"/>
      <c r="D31" s="88"/>
      <c r="E31" s="103"/>
      <c r="F31" s="111" t="str">
        <f t="shared" si="1"/>
        <v xml:space="preserve"> </v>
      </c>
      <c r="G31" s="159"/>
    </row>
    <row r="32" spans="1:13">
      <c r="A32" s="85">
        <f t="shared" si="0"/>
        <v>5</v>
      </c>
      <c r="B32" s="101"/>
      <c r="C32" s="102"/>
      <c r="D32" s="88"/>
      <c r="E32" s="103"/>
      <c r="F32" s="111" t="str">
        <f t="shared" si="1"/>
        <v xml:space="preserve"> </v>
      </c>
      <c r="G32" s="159"/>
    </row>
    <row r="33" spans="1:9">
      <c r="A33" s="85">
        <f t="shared" si="0"/>
        <v>6</v>
      </c>
      <c r="B33" s="101"/>
      <c r="C33" s="102"/>
      <c r="D33" s="88"/>
      <c r="E33" s="103"/>
      <c r="F33" s="111" t="str">
        <f t="shared" si="1"/>
        <v xml:space="preserve"> </v>
      </c>
      <c r="G33" s="159"/>
    </row>
    <row r="34" spans="1:9">
      <c r="A34" s="85">
        <f t="shared" si="0"/>
        <v>7</v>
      </c>
      <c r="B34" s="101"/>
      <c r="C34" s="102"/>
      <c r="D34" s="88"/>
      <c r="E34" s="103"/>
      <c r="F34" s="111" t="str">
        <f t="shared" si="1"/>
        <v xml:space="preserve"> </v>
      </c>
      <c r="G34" s="159"/>
    </row>
    <row r="35" spans="1:9">
      <c r="A35" s="85">
        <f t="shared" si="0"/>
        <v>8</v>
      </c>
      <c r="B35" s="101"/>
      <c r="C35" s="102"/>
      <c r="D35" s="88"/>
      <c r="E35" s="103"/>
      <c r="F35" s="111" t="str">
        <f t="shared" si="1"/>
        <v xml:space="preserve"> </v>
      </c>
      <c r="G35" s="159"/>
    </row>
    <row r="36" spans="1:9">
      <c r="A36" s="85">
        <f t="shared" si="0"/>
        <v>9</v>
      </c>
      <c r="B36" s="101"/>
      <c r="C36" s="102"/>
      <c r="D36" s="88"/>
      <c r="E36" s="103"/>
      <c r="F36" s="111" t="str">
        <f t="shared" si="1"/>
        <v xml:space="preserve"> </v>
      </c>
      <c r="G36" s="159"/>
    </row>
    <row r="37" spans="1:9">
      <c r="A37" s="85">
        <f t="shared" si="0"/>
        <v>10</v>
      </c>
      <c r="B37" s="101"/>
      <c r="C37" s="102"/>
      <c r="D37" s="88"/>
      <c r="E37" s="103"/>
      <c r="F37" s="111" t="str">
        <f t="shared" si="1"/>
        <v xml:space="preserve"> </v>
      </c>
      <c r="G37" s="159"/>
    </row>
    <row r="38" spans="1:9">
      <c r="A38" s="85">
        <f t="shared" si="0"/>
        <v>11</v>
      </c>
      <c r="B38" s="101"/>
      <c r="C38" s="102"/>
      <c r="D38" s="88"/>
      <c r="E38" s="103"/>
      <c r="F38" s="111" t="str">
        <f t="shared" si="1"/>
        <v xml:space="preserve"> </v>
      </c>
      <c r="G38" s="160"/>
    </row>
    <row r="39" spans="1:9">
      <c r="A39" s="85">
        <f t="shared" si="0"/>
        <v>12</v>
      </c>
      <c r="B39" s="101"/>
      <c r="C39" s="102"/>
      <c r="D39" s="88"/>
      <c r="E39" s="103"/>
      <c r="F39" s="111" t="str">
        <f t="shared" si="1"/>
        <v xml:space="preserve"> </v>
      </c>
      <c r="G39" s="160"/>
    </row>
    <row r="40" spans="1:9" ht="24.75" hidden="1" customHeight="1" thickBot="1">
      <c r="A40" s="85">
        <f t="shared" si="0"/>
        <v>13</v>
      </c>
      <c r="B40" s="101"/>
      <c r="C40" s="102"/>
      <c r="D40" s="88"/>
      <c r="E40" s="103"/>
      <c r="F40" s="111" t="str">
        <f t="shared" si="1"/>
        <v xml:space="preserve"> </v>
      </c>
      <c r="G40" s="159"/>
    </row>
    <row r="41" spans="1:9" ht="12.75" customHeight="1">
      <c r="A41" s="85">
        <f t="shared" si="0"/>
        <v>14</v>
      </c>
      <c r="B41" s="101"/>
      <c r="C41" s="102"/>
      <c r="D41" s="88"/>
      <c r="E41" s="103"/>
      <c r="F41" s="111" t="str">
        <f t="shared" si="1"/>
        <v xml:space="preserve"> </v>
      </c>
      <c r="G41" s="161"/>
    </row>
    <row r="42" spans="1:9" ht="12.75" customHeight="1">
      <c r="A42" s="85">
        <f t="shared" si="0"/>
        <v>15</v>
      </c>
      <c r="B42" s="101"/>
      <c r="C42" s="102"/>
      <c r="D42" s="88"/>
      <c r="E42" s="103"/>
      <c r="F42" s="111" t="str">
        <f t="shared" si="1"/>
        <v xml:space="preserve"> </v>
      </c>
      <c r="G42" s="162"/>
    </row>
    <row r="43" spans="1:9" ht="12.75" customHeight="1">
      <c r="A43" s="85">
        <f t="shared" si="0"/>
        <v>16</v>
      </c>
      <c r="B43" s="101"/>
      <c r="C43" s="102"/>
      <c r="D43" s="88"/>
      <c r="E43" s="103"/>
      <c r="F43" s="111" t="str">
        <f t="shared" si="1"/>
        <v xml:space="preserve"> </v>
      </c>
      <c r="G43" s="162"/>
    </row>
    <row r="44" spans="1:9" ht="12.75" customHeight="1">
      <c r="A44" s="85">
        <f t="shared" si="0"/>
        <v>17</v>
      </c>
      <c r="B44" s="101"/>
      <c r="C44" s="102"/>
      <c r="D44" s="88"/>
      <c r="E44" s="103"/>
      <c r="F44" s="111" t="str">
        <f t="shared" si="1"/>
        <v xml:space="preserve"> </v>
      </c>
      <c r="G44" s="163"/>
      <c r="H44" s="180"/>
      <c r="I44" s="180"/>
    </row>
    <row r="45" spans="1:9" ht="12.75" customHeight="1">
      <c r="A45" s="85">
        <f t="shared" si="0"/>
        <v>18</v>
      </c>
      <c r="B45" s="101"/>
      <c r="C45" s="102"/>
      <c r="D45" s="88"/>
      <c r="E45" s="103"/>
      <c r="F45" s="111" t="str">
        <f t="shared" ref="F45:F47" si="2">IF(D45&lt;&gt;"",D45*E45," ")</f>
        <v xml:space="preserve"> </v>
      </c>
      <c r="G45" s="162"/>
    </row>
    <row r="46" spans="1:9" ht="12.75" customHeight="1">
      <c r="A46" s="85">
        <f t="shared" si="0"/>
        <v>19</v>
      </c>
      <c r="B46" s="101"/>
      <c r="C46" s="102"/>
      <c r="D46" s="88"/>
      <c r="E46" s="103"/>
      <c r="F46" s="111" t="str">
        <f t="shared" si="2"/>
        <v xml:space="preserve"> </v>
      </c>
      <c r="G46" s="162"/>
    </row>
    <row r="47" spans="1:9" ht="15.75" customHeight="1" thickBot="1">
      <c r="A47" s="85">
        <f t="shared" si="0"/>
        <v>20</v>
      </c>
      <c r="B47" s="101"/>
      <c r="C47" s="102"/>
      <c r="D47" s="88"/>
      <c r="E47" s="103"/>
      <c r="F47" s="111" t="str">
        <f t="shared" si="2"/>
        <v xml:space="preserve"> </v>
      </c>
      <c r="G47" s="164"/>
    </row>
    <row r="48" spans="1:9" ht="14.25" customHeight="1">
      <c r="A48" s="90"/>
      <c r="B48" s="80"/>
      <c r="C48" s="81"/>
      <c r="D48" s="82"/>
      <c r="E48" s="83" t="s">
        <v>6</v>
      </c>
      <c r="F48" s="84">
        <f>SUM(F28:F47)</f>
        <v>0</v>
      </c>
      <c r="G48" s="165"/>
    </row>
    <row r="49" spans="1:13" ht="16.149999999999999" customHeight="1">
      <c r="A49" s="38"/>
      <c r="B49" s="71"/>
      <c r="C49" s="72"/>
      <c r="E49" s="39" t="s">
        <v>69</v>
      </c>
      <c r="F49" s="77"/>
      <c r="G49" s="166"/>
    </row>
    <row r="50" spans="1:13" ht="12" customHeight="1">
      <c r="A50" s="38"/>
      <c r="B50" s="71"/>
      <c r="C50" s="72"/>
      <c r="E50" s="11" t="s">
        <v>49</v>
      </c>
      <c r="F50" s="77">
        <v>0</v>
      </c>
      <c r="G50" s="156"/>
    </row>
    <row r="51" spans="1:13" s="18" customFormat="1" ht="12.75" customHeight="1">
      <c r="A51" s="38"/>
      <c r="B51" s="71"/>
      <c r="C51" s="73"/>
      <c r="D51" s="12"/>
      <c r="E51" s="13" t="s">
        <v>71</v>
      </c>
      <c r="F51" s="100">
        <v>0</v>
      </c>
      <c r="G51" s="167"/>
      <c r="H51" s="181"/>
      <c r="I51" s="181"/>
      <c r="J51" s="181"/>
      <c r="K51" s="181"/>
      <c r="L51" s="181"/>
      <c r="M51" s="181"/>
    </row>
    <row r="52" spans="1:13" ht="15" customHeight="1">
      <c r="A52" s="36"/>
      <c r="B52" s="71"/>
      <c r="C52" s="74"/>
      <c r="D52" s="12"/>
      <c r="E52" s="13" t="s">
        <v>54</v>
      </c>
      <c r="F52" s="99">
        <v>0</v>
      </c>
      <c r="G52" s="156"/>
    </row>
    <row r="53" spans="1:13" ht="18" customHeight="1" thickBot="1">
      <c r="A53" s="4"/>
      <c r="B53" s="34"/>
      <c r="C53" s="35"/>
      <c r="D53"/>
      <c r="E53" s="14" t="s">
        <v>7</v>
      </c>
      <c r="F53" s="78"/>
      <c r="G53" s="167"/>
    </row>
    <row r="54" spans="1:13" ht="15.75" customHeight="1">
      <c r="A54" s="38"/>
      <c r="B54" s="26"/>
      <c r="C54" s="15"/>
      <c r="D54" s="16"/>
      <c r="E54" s="17" t="s">
        <v>8</v>
      </c>
      <c r="F54" s="75">
        <f>+F53+F52+F49+F48+F50</f>
        <v>0</v>
      </c>
      <c r="G54" s="156"/>
    </row>
    <row r="55" spans="1:13" ht="5.25" customHeight="1">
      <c r="A55" s="104"/>
      <c r="B55" s="105"/>
      <c r="C55" s="105"/>
      <c r="D55" s="105"/>
      <c r="E55" s="106"/>
      <c r="F55" s="107"/>
      <c r="G55" s="168"/>
    </row>
    <row r="56" spans="1:13" ht="15">
      <c r="A56" s="95" t="s">
        <v>12</v>
      </c>
      <c r="B56" s="95"/>
      <c r="C56" s="95"/>
      <c r="D56" s="95"/>
      <c r="E56" s="95"/>
      <c r="F56" s="95"/>
      <c r="G56" s="169"/>
    </row>
    <row r="57" spans="1:13" ht="15.75" customHeight="1">
      <c r="A57" s="4"/>
      <c r="B57"/>
      <c r="C57"/>
      <c r="D57"/>
      <c r="E57"/>
      <c r="F57"/>
      <c r="G57" s="169"/>
    </row>
    <row r="58" spans="1:13" ht="28.5" customHeight="1">
      <c r="A58" s="40" t="s">
        <v>14</v>
      </c>
      <c r="B58" s="114" t="s">
        <v>36</v>
      </c>
      <c r="C58" s="114"/>
      <c r="D58" s="114"/>
      <c r="E58" s="114"/>
      <c r="F58" s="114"/>
      <c r="G58" s="156"/>
    </row>
    <row r="59" spans="1:13" ht="2.25" customHeight="1">
      <c r="A59" s="40"/>
      <c r="B59" s="40"/>
      <c r="C59" s="68"/>
      <c r="D59" s="68"/>
      <c r="E59" s="68"/>
      <c r="F59"/>
      <c r="G59" s="167"/>
    </row>
    <row r="60" spans="1:13" ht="31.5" customHeight="1">
      <c r="A60" s="40" t="s">
        <v>15</v>
      </c>
      <c r="B60" s="114" t="s">
        <v>70</v>
      </c>
      <c r="C60" s="114"/>
      <c r="D60" s="114"/>
      <c r="E60" s="114"/>
      <c r="F60" s="114"/>
      <c r="G60" s="156"/>
    </row>
    <row r="61" spans="1:13" ht="2.25" customHeight="1">
      <c r="A61" s="40"/>
      <c r="B61" s="40"/>
      <c r="C61" s="68"/>
      <c r="D61" s="68"/>
      <c r="E61" s="68"/>
      <c r="F61"/>
      <c r="G61" s="170"/>
    </row>
    <row r="62" spans="1:13" ht="13.5" customHeight="1">
      <c r="A62" s="40" t="s">
        <v>16</v>
      </c>
      <c r="B62" s="139" t="s">
        <v>62</v>
      </c>
      <c r="C62" s="139"/>
      <c r="D62" s="79">
        <v>0.5</v>
      </c>
      <c r="E62" s="41" t="s">
        <v>53</v>
      </c>
      <c r="F62" s="42">
        <f>+F54*D62</f>
        <v>0</v>
      </c>
      <c r="G62" s="170"/>
    </row>
    <row r="63" spans="1:13" ht="3" customHeight="1">
      <c r="A63" s="40"/>
      <c r="B63" s="40"/>
      <c r="C63" s="46"/>
      <c r="D63" s="43"/>
      <c r="E63" s="44"/>
      <c r="F63" s="45"/>
      <c r="G63" s="156"/>
    </row>
    <row r="64" spans="1:13" ht="15" customHeight="1">
      <c r="A64" s="40"/>
      <c r="B64" s="138" t="s">
        <v>32</v>
      </c>
      <c r="C64" s="138"/>
      <c r="D64" s="138"/>
      <c r="E64" s="138"/>
      <c r="F64" s="45"/>
      <c r="G64" s="167"/>
    </row>
    <row r="65" spans="1:7" ht="8.4499999999999993" customHeight="1">
      <c r="A65" s="40"/>
      <c r="B65" s="40"/>
      <c r="C65" s="68"/>
      <c r="D65" s="68"/>
      <c r="E65" s="68"/>
      <c r="F65"/>
      <c r="G65" s="156"/>
    </row>
    <row r="66" spans="1:7" ht="15" customHeight="1">
      <c r="A66" s="40" t="s">
        <v>17</v>
      </c>
      <c r="B66" s="114" t="s">
        <v>13</v>
      </c>
      <c r="C66" s="114"/>
      <c r="D66" s="114"/>
      <c r="E66" s="114"/>
      <c r="F66" s="114"/>
      <c r="G66" s="171"/>
    </row>
    <row r="67" spans="1:7" ht="8.4499999999999993" customHeight="1">
      <c r="A67" s="40"/>
      <c r="B67" s="40"/>
      <c r="C67" s="68"/>
      <c r="D67" s="68"/>
      <c r="E67" s="68"/>
      <c r="F67"/>
      <c r="G67" s="156"/>
    </row>
    <row r="68" spans="1:7" ht="70.5" customHeight="1">
      <c r="A68" s="40" t="s">
        <v>18</v>
      </c>
      <c r="B68" s="140" t="s">
        <v>57</v>
      </c>
      <c r="C68" s="140"/>
      <c r="D68" s="140"/>
      <c r="E68" s="140"/>
      <c r="F68" s="140"/>
      <c r="G68" s="167"/>
    </row>
    <row r="69" spans="1:7" ht="31.5" customHeight="1">
      <c r="A69" s="40"/>
      <c r="B69" s="140" t="s">
        <v>58</v>
      </c>
      <c r="C69" s="140"/>
      <c r="D69" s="140"/>
      <c r="E69" s="140"/>
      <c r="F69" s="140"/>
      <c r="G69" s="156"/>
    </row>
    <row r="70" spans="1:7" ht="4.5" customHeight="1">
      <c r="A70" s="40"/>
      <c r="B70" s="40"/>
      <c r="C70" s="46"/>
      <c r="D70" s="46"/>
      <c r="E70" s="46"/>
      <c r="F70"/>
      <c r="G70" s="167"/>
    </row>
    <row r="71" spans="1:7" ht="27" customHeight="1">
      <c r="A71" s="40" t="s">
        <v>19</v>
      </c>
      <c r="B71" s="114" t="s">
        <v>37</v>
      </c>
      <c r="C71" s="114"/>
      <c r="D71" s="114"/>
      <c r="E71" s="114"/>
      <c r="F71" s="114"/>
      <c r="G71" s="156"/>
    </row>
    <row r="72" spans="1:7" ht="4.5" customHeight="1">
      <c r="A72" s="40"/>
      <c r="B72" s="40"/>
      <c r="C72" s="68"/>
      <c r="D72" s="68"/>
      <c r="E72" s="68"/>
      <c r="F72"/>
      <c r="G72" s="167"/>
    </row>
    <row r="73" spans="1:7" ht="39" customHeight="1">
      <c r="A73" s="40" t="s">
        <v>20</v>
      </c>
      <c r="B73" s="137" t="s">
        <v>38</v>
      </c>
      <c r="C73" s="137"/>
      <c r="D73" s="137"/>
      <c r="E73" s="137"/>
      <c r="F73" s="137"/>
      <c r="G73" s="156"/>
    </row>
    <row r="74" spans="1:7" ht="6" customHeight="1">
      <c r="A74" s="40"/>
      <c r="B74" s="40"/>
      <c r="C74" s="69"/>
      <c r="D74" s="69"/>
      <c r="E74" s="69"/>
      <c r="F74"/>
      <c r="G74" s="167"/>
    </row>
    <row r="75" spans="1:7" ht="30" customHeight="1">
      <c r="A75" s="40" t="s">
        <v>21</v>
      </c>
      <c r="B75" s="114" t="s">
        <v>39</v>
      </c>
      <c r="C75" s="114"/>
      <c r="D75" s="114"/>
      <c r="E75" s="114"/>
      <c r="F75" s="114"/>
      <c r="G75" s="156"/>
    </row>
    <row r="76" spans="1:7" ht="3" customHeight="1">
      <c r="A76" s="40"/>
      <c r="B76" s="40"/>
      <c r="C76" s="68"/>
      <c r="D76" s="68"/>
      <c r="E76" s="68"/>
      <c r="F76"/>
      <c r="G76" s="167"/>
    </row>
    <row r="77" spans="1:7" ht="27" customHeight="1">
      <c r="A77" s="40" t="s">
        <v>22</v>
      </c>
      <c r="B77" s="114" t="s">
        <v>27</v>
      </c>
      <c r="C77" s="114"/>
      <c r="D77" s="114"/>
      <c r="E77" s="114"/>
      <c r="F77" s="114"/>
      <c r="G77" s="156"/>
    </row>
    <row r="78" spans="1:7" ht="5.25" customHeight="1">
      <c r="A78" s="40"/>
      <c r="B78" s="40"/>
      <c r="C78" s="68"/>
      <c r="D78" s="68"/>
      <c r="E78" s="68"/>
      <c r="F78"/>
      <c r="G78" s="167"/>
    </row>
    <row r="79" spans="1:7" ht="40.5" customHeight="1">
      <c r="A79" s="40" t="s">
        <v>23</v>
      </c>
      <c r="B79" s="114" t="s">
        <v>63</v>
      </c>
      <c r="C79" s="114"/>
      <c r="D79" s="114"/>
      <c r="E79" s="114"/>
      <c r="F79" s="114"/>
      <c r="G79" s="167"/>
    </row>
    <row r="80" spans="1:7" ht="3" customHeight="1">
      <c r="A80" s="40"/>
      <c r="B80" s="40"/>
      <c r="C80" s="68"/>
      <c r="D80" s="68"/>
      <c r="E80" s="68"/>
      <c r="F80"/>
      <c r="G80" s="156"/>
    </row>
    <row r="81" spans="1:7" ht="27.75" customHeight="1">
      <c r="A81" s="40" t="s">
        <v>24</v>
      </c>
      <c r="B81" s="114" t="s">
        <v>40</v>
      </c>
      <c r="C81" s="114"/>
      <c r="D81" s="114"/>
      <c r="E81" s="114"/>
      <c r="F81" s="114"/>
      <c r="G81" s="156"/>
    </row>
    <row r="82" spans="1:7" ht="6" customHeight="1">
      <c r="A82" s="40"/>
      <c r="B82" s="40"/>
      <c r="C82" s="68"/>
      <c r="D82" s="68"/>
      <c r="E82" s="68"/>
      <c r="F82"/>
      <c r="G82" s="167"/>
    </row>
    <row r="83" spans="1:7" ht="42.75" customHeight="1">
      <c r="A83" s="40" t="s">
        <v>25</v>
      </c>
      <c r="B83" s="114" t="s">
        <v>45</v>
      </c>
      <c r="C83" s="114"/>
      <c r="D83" s="114"/>
      <c r="E83" s="114"/>
      <c r="F83" s="114"/>
      <c r="G83" s="156"/>
    </row>
    <row r="84" spans="1:7" ht="6.75" customHeight="1">
      <c r="A84" s="40"/>
      <c r="B84" s="40"/>
      <c r="C84" s="68"/>
      <c r="D84" s="68"/>
      <c r="E84" s="68"/>
      <c r="F84"/>
      <c r="G84" s="156"/>
    </row>
    <row r="85" spans="1:7" ht="81" customHeight="1">
      <c r="A85" s="40" t="s">
        <v>26</v>
      </c>
      <c r="B85" s="114" t="s">
        <v>41</v>
      </c>
      <c r="C85" s="114"/>
      <c r="D85" s="114"/>
      <c r="E85" s="114"/>
      <c r="F85" s="114"/>
      <c r="G85" s="156"/>
    </row>
    <row r="86" spans="1:7" ht="6.75" customHeight="1">
      <c r="A86" s="40"/>
      <c r="B86" s="68"/>
      <c r="C86" s="68"/>
      <c r="D86" s="68"/>
      <c r="E86" s="68"/>
      <c r="F86" s="68"/>
      <c r="G86" s="156"/>
    </row>
    <row r="87" spans="1:7" ht="88.5" customHeight="1">
      <c r="A87" s="40" t="s">
        <v>42</v>
      </c>
      <c r="B87" s="142" t="s">
        <v>67</v>
      </c>
      <c r="C87" s="142"/>
      <c r="D87" s="142"/>
      <c r="E87" s="142"/>
      <c r="F87"/>
      <c r="G87" s="156"/>
    </row>
    <row r="88" spans="1:7" ht="6" customHeight="1">
      <c r="A88" s="40"/>
      <c r="B88" s="142"/>
      <c r="C88" s="142"/>
      <c r="D88" s="142"/>
      <c r="E88" s="142"/>
      <c r="F88"/>
      <c r="G88" s="167"/>
    </row>
    <row r="89" spans="1:7" ht="18" customHeight="1">
      <c r="A89" s="40" t="s">
        <v>43</v>
      </c>
      <c r="B89" s="114" t="s">
        <v>59</v>
      </c>
      <c r="C89" s="114"/>
      <c r="D89" s="114"/>
      <c r="E89" s="114"/>
      <c r="F89" s="114"/>
      <c r="G89" s="167"/>
    </row>
    <row r="90" spans="1:7" ht="6.75" customHeight="1">
      <c r="A90" s="40"/>
      <c r="B90" s="40"/>
      <c r="C90" s="68"/>
      <c r="D90" s="68"/>
      <c r="E90" s="68"/>
      <c r="F90"/>
      <c r="G90" s="167"/>
    </row>
    <row r="91" spans="1:7" ht="67.5" customHeight="1">
      <c r="A91" s="40" t="s">
        <v>44</v>
      </c>
      <c r="B91" s="114" t="s">
        <v>72</v>
      </c>
      <c r="C91" s="114"/>
      <c r="D91" s="114"/>
      <c r="E91" s="114"/>
      <c r="F91"/>
      <c r="G91" s="172"/>
    </row>
    <row r="92" spans="1:7" ht="9.75" customHeight="1">
      <c r="A92" s="40"/>
      <c r="B92" s="76"/>
      <c r="C92" s="76"/>
      <c r="D92" s="76"/>
      <c r="E92" s="76"/>
      <c r="F92"/>
      <c r="G92" s="167"/>
    </row>
    <row r="93" spans="1:7" ht="54.75" customHeight="1">
      <c r="A93" s="40" t="s">
        <v>56</v>
      </c>
      <c r="B93" s="114" t="s">
        <v>65</v>
      </c>
      <c r="C93" s="114"/>
      <c r="D93" s="114"/>
      <c r="E93" s="114"/>
      <c r="F93"/>
      <c r="G93" s="167"/>
    </row>
    <row r="94" spans="1:7" ht="7.5" customHeight="1">
      <c r="A94" s="40"/>
      <c r="B94" s="76"/>
      <c r="C94" s="76"/>
      <c r="D94" s="76"/>
      <c r="E94" s="76"/>
      <c r="F94"/>
      <c r="G94" s="167"/>
    </row>
    <row r="95" spans="1:7" ht="41.25" customHeight="1">
      <c r="A95" s="40" t="s">
        <v>60</v>
      </c>
      <c r="B95" s="114" t="s">
        <v>68</v>
      </c>
      <c r="C95" s="114"/>
      <c r="D95" s="114"/>
      <c r="E95" s="114"/>
      <c r="F95" s="114"/>
      <c r="G95" s="167"/>
    </row>
    <row r="96" spans="1:7" ht="10.5" customHeight="1">
      <c r="A96" s="40"/>
      <c r="B96" s="68"/>
      <c r="C96" s="68"/>
      <c r="D96" s="68"/>
      <c r="E96" s="68"/>
      <c r="F96" s="68"/>
      <c r="G96" s="167"/>
    </row>
    <row r="97" spans="1:7" ht="132.75" customHeight="1">
      <c r="A97" s="40" t="s">
        <v>61</v>
      </c>
      <c r="B97" s="114" t="s">
        <v>66</v>
      </c>
      <c r="C97" s="114"/>
      <c r="D97" s="114"/>
      <c r="E97" s="114"/>
      <c r="F97" s="114"/>
      <c r="G97" s="173"/>
    </row>
    <row r="98" spans="1:7" ht="12.75" customHeight="1">
      <c r="A98" s="4"/>
      <c r="B98" s="40"/>
      <c r="C98" s="68"/>
      <c r="D98" s="68"/>
      <c r="E98" s="68"/>
      <c r="F98" s="6"/>
      <c r="G98" s="174"/>
    </row>
    <row r="99" spans="1:7" ht="41.25" customHeight="1">
      <c r="A99" s="4"/>
      <c r="B99" s="143" t="s">
        <v>33</v>
      </c>
      <c r="C99" s="143"/>
      <c r="D99" s="143"/>
      <c r="E99" s="143"/>
      <c r="F99" s="68"/>
      <c r="G99" s="173"/>
    </row>
    <row r="100" spans="1:7" ht="9" customHeight="1">
      <c r="A100" s="4"/>
      <c r="B100" s="68"/>
      <c r="C100" s="68"/>
      <c r="D100" s="68"/>
      <c r="E100" s="68"/>
      <c r="F100" s="68"/>
      <c r="G100" s="173"/>
    </row>
    <row r="101" spans="1:7" ht="39.75" customHeight="1">
      <c r="A101" s="4"/>
      <c r="B101" s="143" t="s">
        <v>46</v>
      </c>
      <c r="C101" s="143"/>
      <c r="D101" s="143"/>
      <c r="E101" s="143"/>
      <c r="F101" s="68"/>
      <c r="G101" s="175"/>
    </row>
    <row r="102" spans="1:7">
      <c r="A102" s="4"/>
      <c r="B102" s="68"/>
      <c r="C102" s="68"/>
      <c r="D102" s="68"/>
      <c r="E102" s="68"/>
      <c r="F102" s="68"/>
      <c r="G102" s="173"/>
    </row>
    <row r="103" spans="1:7" ht="29.25" customHeight="1">
      <c r="A103" s="4"/>
      <c r="B103" s="143" t="s">
        <v>28</v>
      </c>
      <c r="C103" s="143"/>
      <c r="D103" s="143"/>
      <c r="E103" s="143"/>
      <c r="F103" s="68"/>
      <c r="G103" s="173"/>
    </row>
    <row r="104" spans="1:7" ht="6.75" customHeight="1">
      <c r="A104" s="4"/>
      <c r="B104" s="22"/>
      <c r="C104" s="22"/>
      <c r="D104" s="22"/>
      <c r="E104" s="22"/>
      <c r="F104" s="22"/>
      <c r="G104" s="156"/>
    </row>
    <row r="105" spans="1:7" ht="15.75" customHeight="1">
      <c r="A105" s="4"/>
      <c r="B105" s="143" t="s">
        <v>30</v>
      </c>
      <c r="C105" s="143"/>
      <c r="D105" s="143"/>
      <c r="E105" s="143"/>
      <c r="F105" s="143"/>
      <c r="G105" s="173"/>
    </row>
    <row r="106" spans="1:7">
      <c r="A106" s="4"/>
      <c r="B106" s="22"/>
      <c r="C106" s="22"/>
      <c r="D106" s="22"/>
      <c r="E106" s="22"/>
      <c r="F106" s="22"/>
      <c r="G106" s="156"/>
    </row>
    <row r="107" spans="1:7">
      <c r="A107" s="4"/>
      <c r="B107" s="22"/>
      <c r="C107" s="22"/>
      <c r="D107" s="22"/>
      <c r="E107" s="22"/>
      <c r="F107" s="22"/>
      <c r="G107" s="156"/>
    </row>
    <row r="108" spans="1:7" ht="31.5">
      <c r="B108" s="70" t="s">
        <v>29</v>
      </c>
      <c r="C108" s="70"/>
      <c r="D108" s="70"/>
      <c r="E108" s="70"/>
      <c r="F108" s="70"/>
      <c r="G108" s="156"/>
    </row>
    <row r="109" spans="1:7">
      <c r="B109" s="22"/>
      <c r="C109" s="22"/>
      <c r="D109" s="22"/>
      <c r="E109" s="22"/>
      <c r="F109" s="22"/>
      <c r="G109" s="156"/>
    </row>
    <row r="110" spans="1:7" ht="12.75" customHeight="1">
      <c r="B110" s="141" t="s">
        <v>51</v>
      </c>
      <c r="C110" s="141"/>
      <c r="D110" s="141"/>
      <c r="E110" s="141"/>
      <c r="F110" s="141"/>
      <c r="G110" s="156"/>
    </row>
    <row r="111" spans="1:7" ht="2.25" customHeight="1">
      <c r="B111" s="6"/>
      <c r="C111"/>
      <c r="D111"/>
      <c r="E111"/>
      <c r="F111"/>
      <c r="G111" s="156"/>
    </row>
    <row r="112" spans="1:7" ht="17.25" customHeight="1">
      <c r="B112" s="141" t="s">
        <v>52</v>
      </c>
      <c r="C112" s="141"/>
      <c r="D112" s="141"/>
      <c r="E112" s="141"/>
      <c r="F112" s="141"/>
      <c r="G112" s="156"/>
    </row>
    <row r="113" spans="1:7" ht="9.9499999999999993" customHeight="1">
      <c r="B113" s="6"/>
      <c r="C113"/>
      <c r="D113"/>
      <c r="E113"/>
      <c r="F113"/>
      <c r="G113" s="156"/>
    </row>
    <row r="114" spans="1:7" ht="18.75" customHeight="1">
      <c r="B114" s="6"/>
      <c r="C114"/>
      <c r="D114"/>
      <c r="E114"/>
      <c r="F114"/>
      <c r="G114" s="156"/>
    </row>
    <row r="115" spans="1:7" ht="15" customHeight="1">
      <c r="B115" s="47" t="s">
        <v>34</v>
      </c>
      <c r="C115"/>
      <c r="D115"/>
      <c r="E115"/>
      <c r="F115"/>
      <c r="G115" s="156"/>
    </row>
    <row r="116" spans="1:7" ht="0.75" customHeight="1">
      <c r="B116" s="6"/>
      <c r="C116"/>
      <c r="D116"/>
      <c r="E116"/>
      <c r="F116"/>
      <c r="G116" s="156"/>
    </row>
    <row r="117" spans="1:7" ht="16.5" customHeight="1">
      <c r="B117" s="6"/>
      <c r="C117"/>
      <c r="D117"/>
      <c r="E117" s="3" t="s">
        <v>73</v>
      </c>
      <c r="F117" s="3"/>
      <c r="G117" s="156"/>
    </row>
    <row r="118" spans="1:7" ht="9.9499999999999993" customHeight="1">
      <c r="A118" s="1"/>
      <c r="B118" s="19"/>
      <c r="C118" s="32"/>
      <c r="G118" s="156"/>
    </row>
    <row r="119" spans="1:7" ht="9.9499999999999993" customHeight="1">
      <c r="A119" s="112"/>
      <c r="B119" s="113"/>
      <c r="C119" s="112"/>
      <c r="D119" s="112"/>
      <c r="E119" s="112"/>
      <c r="F119" s="112"/>
      <c r="G119" s="156"/>
    </row>
    <row r="120" spans="1:7" ht="9.9499999999999993" customHeight="1">
      <c r="A120" s="1"/>
      <c r="B120" s="19"/>
    </row>
    <row r="121" spans="1:7" ht="9.9499999999999993" customHeight="1">
      <c r="A121" s="1"/>
      <c r="B121" s="19"/>
    </row>
    <row r="122" spans="1:7" ht="9.9499999999999993" customHeight="1">
      <c r="A122" s="1"/>
      <c r="B122" s="19"/>
    </row>
    <row r="123" spans="1:7" ht="9.9499999999999993" customHeight="1">
      <c r="A123" s="1"/>
      <c r="B123" s="19"/>
    </row>
    <row r="124" spans="1:7" ht="9.9499999999999993" customHeight="1">
      <c r="A124" s="1"/>
      <c r="B124" s="19"/>
    </row>
    <row r="125" spans="1:7" ht="9.9499999999999993" customHeight="1">
      <c r="A125" s="1"/>
      <c r="B125" s="19"/>
    </row>
    <row r="126" spans="1:7" ht="9.9499999999999993" customHeight="1">
      <c r="A126" s="1"/>
      <c r="B126" s="19"/>
    </row>
    <row r="127" spans="1:7" ht="9.9499999999999993" customHeight="1">
      <c r="A127" s="1"/>
      <c r="B127" s="19"/>
    </row>
    <row r="128" spans="1:7" ht="9.9499999999999993" customHeight="1">
      <c r="A128" s="1"/>
      <c r="B128" s="19"/>
    </row>
    <row r="129" spans="2:13" s="1" customFormat="1" ht="9.9499999999999993" customHeight="1">
      <c r="B129" s="19"/>
      <c r="G129" s="176"/>
      <c r="H129" s="176"/>
      <c r="I129" s="176"/>
      <c r="J129" s="176"/>
      <c r="K129" s="176"/>
      <c r="L129" s="176"/>
      <c r="M129" s="176"/>
    </row>
    <row r="130" spans="2:13" s="1" customFormat="1" ht="9.9499999999999993" customHeight="1">
      <c r="B130" s="19"/>
      <c r="G130" s="176"/>
      <c r="H130" s="176"/>
      <c r="I130" s="176"/>
      <c r="J130" s="176"/>
      <c r="K130" s="176"/>
      <c r="L130" s="176"/>
      <c r="M130" s="176"/>
    </row>
    <row r="131" spans="2:13" s="1" customFormat="1" ht="9.9499999999999993" customHeight="1">
      <c r="B131" s="19"/>
      <c r="G131" s="176"/>
      <c r="H131" s="176"/>
      <c r="I131" s="176"/>
      <c r="J131" s="176"/>
      <c r="K131" s="176"/>
      <c r="L131" s="176"/>
      <c r="M131" s="176"/>
    </row>
    <row r="132" spans="2:13" s="1" customFormat="1" ht="9.9499999999999993" customHeight="1">
      <c r="B132" s="19"/>
      <c r="G132" s="176"/>
      <c r="H132" s="176"/>
      <c r="I132" s="176"/>
      <c r="J132" s="176"/>
      <c r="K132" s="176"/>
      <c r="L132" s="176"/>
      <c r="M132" s="176"/>
    </row>
    <row r="133" spans="2:13" s="1" customFormat="1" ht="9.9499999999999993" customHeight="1">
      <c r="B133" s="19"/>
      <c r="G133" s="176"/>
      <c r="H133" s="176"/>
      <c r="I133" s="176"/>
      <c r="J133" s="176"/>
      <c r="K133" s="176"/>
      <c r="L133" s="176"/>
      <c r="M133" s="176"/>
    </row>
    <row r="134" spans="2:13" s="1" customFormat="1" ht="126" customHeight="1">
      <c r="B134" s="19"/>
      <c r="G134" s="176"/>
      <c r="H134" s="176"/>
      <c r="I134" s="176"/>
      <c r="J134" s="176"/>
      <c r="K134" s="176"/>
      <c r="L134" s="176"/>
      <c r="M134" s="176"/>
    </row>
    <row r="135" spans="2:13" s="1" customFormat="1" ht="96" customHeight="1">
      <c r="B135" s="19"/>
      <c r="G135" s="176"/>
      <c r="H135" s="176"/>
      <c r="I135" s="176"/>
      <c r="J135" s="176"/>
      <c r="K135" s="176"/>
      <c r="L135" s="176"/>
      <c r="M135" s="176"/>
    </row>
    <row r="136" spans="2:13" s="1" customFormat="1" ht="93" customHeight="1">
      <c r="B136" s="19"/>
      <c r="G136" s="176"/>
      <c r="H136" s="176"/>
      <c r="I136" s="176"/>
      <c r="J136" s="176"/>
      <c r="K136" s="176"/>
      <c r="L136" s="176"/>
      <c r="M136" s="176"/>
    </row>
    <row r="137" spans="2:13" s="1" customFormat="1" ht="42" customHeight="1">
      <c r="B137" s="19"/>
      <c r="G137" s="176"/>
      <c r="H137" s="176"/>
      <c r="I137" s="176"/>
      <c r="J137" s="176"/>
      <c r="K137" s="176"/>
      <c r="L137" s="176"/>
      <c r="M137" s="176"/>
    </row>
    <row r="138" spans="2:13" s="1" customFormat="1" ht="42.75" customHeight="1">
      <c r="B138" s="19"/>
      <c r="G138" s="176"/>
      <c r="H138" s="176"/>
      <c r="I138" s="176"/>
      <c r="J138" s="176"/>
      <c r="K138" s="176"/>
      <c r="L138" s="176"/>
      <c r="M138" s="176"/>
    </row>
    <row r="139" spans="2:13" s="1" customFormat="1" ht="103.5" customHeight="1">
      <c r="B139" s="19"/>
      <c r="G139" s="176"/>
      <c r="H139" s="176"/>
      <c r="I139" s="176"/>
      <c r="J139" s="176"/>
      <c r="K139" s="176"/>
      <c r="L139" s="176"/>
      <c r="M139" s="176"/>
    </row>
    <row r="140" spans="2:13" s="1" customFormat="1">
      <c r="B140" s="19"/>
      <c r="G140" s="176"/>
      <c r="H140" s="176"/>
      <c r="I140" s="176"/>
      <c r="J140" s="176"/>
      <c r="K140" s="176"/>
      <c r="L140" s="176"/>
      <c r="M140" s="176"/>
    </row>
    <row r="141" spans="2:13" s="1" customFormat="1">
      <c r="B141" s="19"/>
      <c r="G141" s="176"/>
      <c r="H141" s="176"/>
      <c r="I141" s="176"/>
      <c r="J141" s="176"/>
      <c r="K141" s="176"/>
      <c r="L141" s="176"/>
      <c r="M141" s="176"/>
    </row>
    <row r="142" spans="2:13" s="1" customFormat="1">
      <c r="B142" s="19"/>
      <c r="G142" s="176"/>
      <c r="H142" s="176"/>
      <c r="I142" s="176"/>
      <c r="J142" s="176"/>
      <c r="K142" s="176"/>
      <c r="L142" s="176"/>
      <c r="M142" s="176"/>
    </row>
    <row r="143" spans="2:13" s="1" customFormat="1">
      <c r="B143" s="19"/>
      <c r="G143" s="176"/>
      <c r="H143" s="176"/>
      <c r="I143" s="176"/>
      <c r="J143" s="176"/>
      <c r="K143" s="176"/>
      <c r="L143" s="176"/>
      <c r="M143" s="176"/>
    </row>
    <row r="144" spans="2:13" s="1" customFormat="1">
      <c r="B144" s="19"/>
      <c r="G144" s="176"/>
      <c r="H144" s="176"/>
      <c r="I144" s="176"/>
      <c r="J144" s="176"/>
      <c r="K144" s="176"/>
      <c r="L144" s="176"/>
      <c r="M144" s="176"/>
    </row>
    <row r="145" spans="2:13" s="1" customFormat="1">
      <c r="B145" s="19"/>
      <c r="G145" s="176"/>
      <c r="H145" s="176"/>
      <c r="I145" s="176"/>
      <c r="J145" s="176"/>
      <c r="K145" s="176"/>
      <c r="L145" s="176"/>
      <c r="M145" s="176"/>
    </row>
    <row r="146" spans="2:13" s="1" customFormat="1">
      <c r="B146" s="19"/>
      <c r="G146" s="176"/>
      <c r="H146" s="176"/>
      <c r="I146" s="176"/>
      <c r="J146" s="176"/>
      <c r="K146" s="176"/>
      <c r="L146" s="176"/>
      <c r="M146" s="176"/>
    </row>
    <row r="147" spans="2:13" s="1" customFormat="1">
      <c r="B147" s="19"/>
      <c r="G147" s="176"/>
      <c r="H147" s="176"/>
      <c r="I147" s="176"/>
      <c r="J147" s="176"/>
      <c r="K147" s="176"/>
      <c r="L147" s="176"/>
      <c r="M147" s="176"/>
    </row>
    <row r="148" spans="2:13" s="1" customFormat="1">
      <c r="B148" s="19"/>
      <c r="G148" s="176"/>
      <c r="H148" s="176"/>
      <c r="I148" s="176"/>
      <c r="J148" s="176"/>
      <c r="K148" s="176"/>
      <c r="L148" s="176"/>
      <c r="M148" s="176"/>
    </row>
    <row r="149" spans="2:13" s="1" customFormat="1">
      <c r="B149" s="19"/>
      <c r="G149" s="176"/>
      <c r="H149" s="176"/>
      <c r="I149" s="176"/>
      <c r="J149" s="176"/>
      <c r="K149" s="176"/>
      <c r="L149" s="176"/>
      <c r="M149" s="176"/>
    </row>
    <row r="150" spans="2:13" s="1" customFormat="1">
      <c r="B150" s="19"/>
      <c r="G150" s="176"/>
      <c r="H150" s="176"/>
      <c r="I150" s="176"/>
      <c r="J150" s="176"/>
      <c r="K150" s="176"/>
      <c r="L150" s="176"/>
      <c r="M150" s="176"/>
    </row>
    <row r="151" spans="2:13" s="1" customFormat="1">
      <c r="B151" s="19"/>
      <c r="G151" s="176"/>
      <c r="H151" s="176"/>
      <c r="I151" s="176"/>
      <c r="J151" s="176"/>
      <c r="K151" s="176"/>
      <c r="L151" s="176"/>
      <c r="M151" s="176"/>
    </row>
    <row r="152" spans="2:13" s="1" customFormat="1">
      <c r="B152" s="19"/>
      <c r="G152" s="176"/>
      <c r="H152" s="176"/>
      <c r="I152" s="176"/>
      <c r="J152" s="176"/>
      <c r="K152" s="176"/>
      <c r="L152" s="176"/>
      <c r="M152" s="176"/>
    </row>
    <row r="153" spans="2:13" s="1" customFormat="1">
      <c r="B153" s="19"/>
      <c r="G153" s="176"/>
      <c r="H153" s="176"/>
      <c r="I153" s="176"/>
      <c r="J153" s="176"/>
      <c r="K153" s="176"/>
      <c r="L153" s="176"/>
      <c r="M153" s="176"/>
    </row>
    <row r="154" spans="2:13" s="1" customFormat="1">
      <c r="B154" s="19"/>
      <c r="G154" s="176"/>
      <c r="H154" s="176"/>
      <c r="I154" s="176"/>
      <c r="J154" s="176"/>
      <c r="K154" s="176"/>
      <c r="L154" s="176"/>
      <c r="M154" s="176"/>
    </row>
    <row r="155" spans="2:13" s="1" customFormat="1">
      <c r="B155" s="19"/>
      <c r="G155" s="176"/>
      <c r="H155" s="176"/>
      <c r="I155" s="176"/>
      <c r="J155" s="176"/>
      <c r="K155" s="176"/>
      <c r="L155" s="176"/>
      <c r="M155" s="176"/>
    </row>
    <row r="156" spans="2:13" s="1" customFormat="1">
      <c r="B156" s="19"/>
      <c r="G156" s="176"/>
      <c r="H156" s="176"/>
      <c r="I156" s="176"/>
      <c r="J156" s="176"/>
      <c r="K156" s="176"/>
      <c r="L156" s="176"/>
      <c r="M156" s="176"/>
    </row>
    <row r="157" spans="2:13" s="1" customFormat="1">
      <c r="B157" s="19"/>
      <c r="G157" s="176"/>
      <c r="H157" s="176"/>
      <c r="I157" s="176"/>
      <c r="J157" s="176"/>
      <c r="K157" s="176"/>
      <c r="L157" s="176"/>
      <c r="M157" s="176"/>
    </row>
    <row r="158" spans="2:13" s="1" customFormat="1">
      <c r="B158" s="19"/>
      <c r="G158" s="176"/>
      <c r="H158" s="176"/>
      <c r="I158" s="176"/>
      <c r="J158" s="176"/>
      <c r="K158" s="176"/>
      <c r="L158" s="176"/>
      <c r="M158" s="176"/>
    </row>
    <row r="159" spans="2:13" s="1" customFormat="1">
      <c r="B159" s="19"/>
      <c r="G159" s="176"/>
      <c r="H159" s="176"/>
      <c r="I159" s="176"/>
      <c r="J159" s="176"/>
      <c r="K159" s="176"/>
      <c r="L159" s="176"/>
      <c r="M159" s="176"/>
    </row>
    <row r="160" spans="2:13" s="1" customFormat="1">
      <c r="B160" s="19"/>
      <c r="G160" s="176"/>
      <c r="H160" s="176"/>
      <c r="I160" s="176"/>
      <c r="J160" s="176"/>
      <c r="K160" s="176"/>
      <c r="L160" s="176"/>
      <c r="M160" s="176"/>
    </row>
    <row r="161" spans="2:13" s="1" customFormat="1">
      <c r="B161" s="19"/>
      <c r="G161" s="176"/>
      <c r="H161" s="176"/>
      <c r="I161" s="176"/>
      <c r="J161" s="176"/>
      <c r="K161" s="176"/>
      <c r="L161" s="176"/>
      <c r="M161" s="176"/>
    </row>
    <row r="162" spans="2:13" s="1" customFormat="1">
      <c r="B162" s="19"/>
      <c r="G162" s="176"/>
      <c r="H162" s="176"/>
      <c r="I162" s="176"/>
      <c r="J162" s="176"/>
      <c r="K162" s="176"/>
      <c r="L162" s="176"/>
      <c r="M162" s="176"/>
    </row>
    <row r="163" spans="2:13" s="1" customFormat="1">
      <c r="B163" s="19"/>
      <c r="G163" s="176"/>
      <c r="H163" s="176"/>
      <c r="I163" s="176"/>
      <c r="J163" s="176"/>
      <c r="K163" s="176"/>
      <c r="L163" s="176"/>
      <c r="M163" s="176"/>
    </row>
    <row r="164" spans="2:13" s="1" customFormat="1">
      <c r="B164" s="19"/>
      <c r="G164" s="176"/>
      <c r="H164" s="176"/>
      <c r="I164" s="176"/>
      <c r="J164" s="176"/>
      <c r="K164" s="176"/>
      <c r="L164" s="176"/>
      <c r="M164" s="176"/>
    </row>
    <row r="165" spans="2:13" s="1" customFormat="1">
      <c r="B165" s="19"/>
      <c r="G165" s="176"/>
      <c r="H165" s="176"/>
      <c r="I165" s="176"/>
      <c r="J165" s="176"/>
      <c r="K165" s="176"/>
      <c r="L165" s="176"/>
      <c r="M165" s="176"/>
    </row>
    <row r="166" spans="2:13" s="1" customFormat="1">
      <c r="B166" s="19"/>
      <c r="G166" s="176"/>
      <c r="H166" s="176"/>
      <c r="I166" s="176"/>
      <c r="J166" s="176"/>
      <c r="K166" s="176"/>
      <c r="L166" s="176"/>
      <c r="M166" s="176"/>
    </row>
    <row r="167" spans="2:13" s="1" customFormat="1">
      <c r="B167" s="19"/>
      <c r="G167" s="176"/>
      <c r="H167" s="176"/>
      <c r="I167" s="176"/>
      <c r="J167" s="176"/>
      <c r="K167" s="176"/>
      <c r="L167" s="176"/>
      <c r="M167" s="176"/>
    </row>
    <row r="168" spans="2:13" s="1" customFormat="1">
      <c r="B168" s="19"/>
      <c r="G168" s="176"/>
      <c r="H168" s="176"/>
      <c r="I168" s="176"/>
      <c r="J168" s="176"/>
      <c r="K168" s="176"/>
      <c r="L168" s="176"/>
      <c r="M168" s="176"/>
    </row>
    <row r="169" spans="2:13" s="1" customFormat="1">
      <c r="B169" s="19"/>
      <c r="G169" s="176"/>
      <c r="H169" s="176"/>
      <c r="I169" s="176"/>
      <c r="J169" s="176"/>
      <c r="K169" s="176"/>
      <c r="L169" s="176"/>
      <c r="M169" s="176"/>
    </row>
    <row r="170" spans="2:13" s="1" customFormat="1">
      <c r="B170" s="19"/>
      <c r="G170" s="176"/>
      <c r="H170" s="176"/>
      <c r="I170" s="176"/>
      <c r="J170" s="176"/>
      <c r="K170" s="176"/>
      <c r="L170" s="176"/>
      <c r="M170" s="176"/>
    </row>
    <row r="171" spans="2:13" s="1" customFormat="1">
      <c r="B171" s="19"/>
      <c r="G171" s="176"/>
      <c r="H171" s="176"/>
      <c r="I171" s="176"/>
      <c r="J171" s="176"/>
      <c r="K171" s="176"/>
      <c r="L171" s="176"/>
      <c r="M171" s="176"/>
    </row>
    <row r="172" spans="2:13" s="1" customFormat="1">
      <c r="B172" s="19"/>
      <c r="G172" s="176"/>
      <c r="H172" s="176"/>
      <c r="I172" s="176"/>
      <c r="J172" s="176"/>
      <c r="K172" s="176"/>
      <c r="L172" s="176"/>
      <c r="M172" s="176"/>
    </row>
    <row r="173" spans="2:13" s="1" customFormat="1">
      <c r="B173" s="19"/>
      <c r="G173" s="176"/>
      <c r="H173" s="176"/>
      <c r="I173" s="176"/>
      <c r="J173" s="176"/>
      <c r="K173" s="176"/>
      <c r="L173" s="176"/>
      <c r="M173" s="176"/>
    </row>
    <row r="174" spans="2:13" s="1" customFormat="1">
      <c r="B174" s="19"/>
      <c r="G174" s="176"/>
      <c r="H174" s="176"/>
      <c r="I174" s="176"/>
      <c r="J174" s="176"/>
      <c r="K174" s="176"/>
      <c r="L174" s="176"/>
      <c r="M174" s="176"/>
    </row>
    <row r="175" spans="2:13" s="1" customFormat="1">
      <c r="B175" s="19"/>
      <c r="G175" s="176"/>
      <c r="H175" s="176"/>
      <c r="I175" s="176"/>
      <c r="J175" s="176"/>
      <c r="K175" s="176"/>
      <c r="L175" s="176"/>
      <c r="M175" s="176"/>
    </row>
    <row r="176" spans="2:13" s="1" customFormat="1">
      <c r="B176" s="19"/>
      <c r="G176" s="176"/>
      <c r="H176" s="176"/>
      <c r="I176" s="176"/>
      <c r="J176" s="176"/>
      <c r="K176" s="176"/>
      <c r="L176" s="176"/>
      <c r="M176" s="176"/>
    </row>
    <row r="177" spans="2:13" s="1" customFormat="1">
      <c r="B177" s="19"/>
      <c r="G177" s="176"/>
      <c r="H177" s="176"/>
      <c r="I177" s="176"/>
      <c r="J177" s="176"/>
      <c r="K177" s="176"/>
      <c r="L177" s="176"/>
      <c r="M177" s="176"/>
    </row>
    <row r="178" spans="2:13" s="1" customFormat="1">
      <c r="B178" s="19"/>
      <c r="G178" s="176"/>
      <c r="H178" s="176"/>
      <c r="I178" s="176"/>
      <c r="J178" s="176"/>
      <c r="K178" s="176"/>
      <c r="L178" s="176"/>
      <c r="M178" s="176"/>
    </row>
    <row r="179" spans="2:13" s="1" customFormat="1">
      <c r="B179" s="19"/>
      <c r="G179" s="176"/>
      <c r="H179" s="176"/>
      <c r="I179" s="176"/>
      <c r="J179" s="176"/>
      <c r="K179" s="176"/>
      <c r="L179" s="176"/>
      <c r="M179" s="176"/>
    </row>
    <row r="180" spans="2:13" s="1" customFormat="1">
      <c r="B180" s="19"/>
      <c r="G180" s="176"/>
      <c r="H180" s="176"/>
      <c r="I180" s="176"/>
      <c r="J180" s="176"/>
      <c r="K180" s="176"/>
      <c r="L180" s="176"/>
      <c r="M180" s="176"/>
    </row>
    <row r="181" spans="2:13" s="1" customFormat="1">
      <c r="B181" s="19"/>
      <c r="G181" s="176"/>
      <c r="H181" s="176"/>
      <c r="I181" s="176"/>
      <c r="J181" s="176"/>
      <c r="K181" s="176"/>
      <c r="L181" s="176"/>
      <c r="M181" s="176"/>
    </row>
    <row r="182" spans="2:13" s="1" customFormat="1">
      <c r="B182" s="19"/>
      <c r="G182" s="176"/>
      <c r="H182" s="176"/>
      <c r="I182" s="176"/>
      <c r="J182" s="176"/>
      <c r="K182" s="176"/>
      <c r="L182" s="176"/>
      <c r="M182" s="176"/>
    </row>
    <row r="183" spans="2:13" s="1" customFormat="1">
      <c r="B183" s="19"/>
      <c r="G183" s="176"/>
      <c r="H183" s="176"/>
      <c r="I183" s="176"/>
      <c r="J183" s="176"/>
      <c r="K183" s="176"/>
      <c r="L183" s="176"/>
      <c r="M183" s="176"/>
    </row>
    <row r="184" spans="2:13" s="1" customFormat="1">
      <c r="B184" s="19"/>
      <c r="G184" s="176"/>
      <c r="H184" s="176"/>
      <c r="I184" s="176"/>
      <c r="J184" s="176"/>
      <c r="K184" s="176"/>
      <c r="L184" s="176"/>
      <c r="M184" s="176"/>
    </row>
    <row r="185" spans="2:13" s="1" customFormat="1">
      <c r="B185" s="19"/>
      <c r="G185" s="176"/>
      <c r="H185" s="176"/>
      <c r="I185" s="176"/>
      <c r="J185" s="176"/>
      <c r="K185" s="176"/>
      <c r="L185" s="176"/>
      <c r="M185" s="176"/>
    </row>
    <row r="186" spans="2:13" s="1" customFormat="1">
      <c r="B186" s="19"/>
      <c r="G186" s="176"/>
      <c r="H186" s="176"/>
      <c r="I186" s="176"/>
      <c r="J186" s="176"/>
      <c r="K186" s="176"/>
      <c r="L186" s="176"/>
      <c r="M186" s="176"/>
    </row>
    <row r="187" spans="2:13" s="1" customFormat="1">
      <c r="B187" s="19"/>
      <c r="G187" s="176"/>
      <c r="H187" s="176"/>
      <c r="I187" s="176"/>
      <c r="J187" s="176"/>
      <c r="K187" s="176"/>
      <c r="L187" s="176"/>
      <c r="M187" s="176"/>
    </row>
    <row r="188" spans="2:13" s="1" customFormat="1">
      <c r="B188" s="19"/>
      <c r="G188" s="176"/>
      <c r="H188" s="176"/>
      <c r="I188" s="176"/>
      <c r="J188" s="176"/>
      <c r="K188" s="176"/>
      <c r="L188" s="176"/>
      <c r="M188" s="176"/>
    </row>
    <row r="189" spans="2:13" s="1" customFormat="1">
      <c r="B189" s="19"/>
      <c r="G189" s="176"/>
      <c r="H189" s="176"/>
      <c r="I189" s="176"/>
      <c r="J189" s="176"/>
      <c r="K189" s="176"/>
      <c r="L189" s="176"/>
      <c r="M189" s="176"/>
    </row>
    <row r="190" spans="2:13" s="1" customFormat="1">
      <c r="B190" s="19"/>
      <c r="G190" s="176"/>
      <c r="H190" s="176"/>
      <c r="I190" s="176"/>
      <c r="J190" s="176"/>
      <c r="K190" s="176"/>
      <c r="L190" s="176"/>
      <c r="M190" s="176"/>
    </row>
    <row r="191" spans="2:13" s="1" customFormat="1">
      <c r="B191" s="19"/>
      <c r="G191" s="176"/>
      <c r="H191" s="176"/>
      <c r="I191" s="176"/>
      <c r="J191" s="176"/>
      <c r="K191" s="176"/>
      <c r="L191" s="176"/>
      <c r="M191" s="176"/>
    </row>
    <row r="192" spans="2:13" s="1" customFormat="1">
      <c r="B192" s="19"/>
      <c r="G192" s="176"/>
      <c r="H192" s="176"/>
      <c r="I192" s="176"/>
      <c r="J192" s="176"/>
      <c r="K192" s="176"/>
      <c r="L192" s="176"/>
      <c r="M192" s="176"/>
    </row>
    <row r="193" spans="2:13" s="1" customFormat="1">
      <c r="B193" s="19"/>
      <c r="G193" s="176"/>
      <c r="H193" s="176"/>
      <c r="I193" s="176"/>
      <c r="J193" s="176"/>
      <c r="K193" s="176"/>
      <c r="L193" s="176"/>
      <c r="M193" s="176"/>
    </row>
    <row r="194" spans="2:13" s="1" customFormat="1">
      <c r="B194" s="19"/>
      <c r="G194" s="176"/>
      <c r="H194" s="176"/>
      <c r="I194" s="176"/>
      <c r="J194" s="176"/>
      <c r="K194" s="176"/>
      <c r="L194" s="176"/>
      <c r="M194" s="176"/>
    </row>
    <row r="195" spans="2:13" s="1" customFormat="1">
      <c r="B195" s="19"/>
      <c r="G195" s="176"/>
      <c r="H195" s="176"/>
      <c r="I195" s="176"/>
      <c r="J195" s="176"/>
      <c r="K195" s="176"/>
      <c r="L195" s="176"/>
      <c r="M195" s="176"/>
    </row>
    <row r="196" spans="2:13" s="1" customFormat="1">
      <c r="B196" s="19"/>
      <c r="G196" s="176"/>
      <c r="H196" s="176"/>
      <c r="I196" s="176"/>
      <c r="J196" s="176"/>
      <c r="K196" s="176"/>
      <c r="L196" s="176"/>
      <c r="M196" s="176"/>
    </row>
    <row r="197" spans="2:13" s="1" customFormat="1">
      <c r="B197" s="19"/>
      <c r="G197" s="176"/>
      <c r="H197" s="176"/>
      <c r="I197" s="176"/>
      <c r="J197" s="176"/>
      <c r="K197" s="176"/>
      <c r="L197" s="176"/>
      <c r="M197" s="176"/>
    </row>
    <row r="198" spans="2:13" s="1" customFormat="1">
      <c r="B198" s="19"/>
      <c r="G198" s="176"/>
      <c r="H198" s="176"/>
      <c r="I198" s="176"/>
      <c r="J198" s="176"/>
      <c r="K198" s="176"/>
      <c r="L198" s="176"/>
      <c r="M198" s="176"/>
    </row>
    <row r="199" spans="2:13" s="1" customFormat="1">
      <c r="B199" s="19"/>
      <c r="G199" s="176"/>
      <c r="H199" s="176"/>
      <c r="I199" s="176"/>
      <c r="J199" s="176"/>
      <c r="K199" s="176"/>
      <c r="L199" s="176"/>
      <c r="M199" s="176"/>
    </row>
    <row r="200" spans="2:13" s="1" customFormat="1">
      <c r="B200" s="19"/>
      <c r="G200" s="176"/>
      <c r="H200" s="176"/>
      <c r="I200" s="176"/>
      <c r="J200" s="176"/>
      <c r="K200" s="176"/>
      <c r="L200" s="176"/>
      <c r="M200" s="176"/>
    </row>
    <row r="201" spans="2:13" s="1" customFormat="1">
      <c r="B201" s="19"/>
      <c r="G201" s="176"/>
      <c r="H201" s="176"/>
      <c r="I201" s="176"/>
      <c r="J201" s="176"/>
      <c r="K201" s="176"/>
      <c r="L201" s="176"/>
      <c r="M201" s="176"/>
    </row>
    <row r="202" spans="2:13" s="1" customFormat="1">
      <c r="B202" s="19"/>
      <c r="G202" s="176"/>
      <c r="H202" s="176"/>
      <c r="I202" s="176"/>
      <c r="J202" s="176"/>
      <c r="K202" s="176"/>
      <c r="L202" s="176"/>
      <c r="M202" s="176"/>
    </row>
    <row r="203" spans="2:13" s="1" customFormat="1">
      <c r="B203" s="19"/>
      <c r="G203" s="176"/>
      <c r="H203" s="176"/>
      <c r="I203" s="176"/>
      <c r="J203" s="176"/>
      <c r="K203" s="176"/>
      <c r="L203" s="176"/>
      <c r="M203" s="176"/>
    </row>
    <row r="204" spans="2:13" s="1" customFormat="1">
      <c r="B204" s="19"/>
      <c r="G204" s="176"/>
      <c r="H204" s="176"/>
      <c r="I204" s="176"/>
      <c r="J204" s="176"/>
      <c r="K204" s="176"/>
      <c r="L204" s="176"/>
      <c r="M204" s="176"/>
    </row>
    <row r="205" spans="2:13" s="1" customFormat="1">
      <c r="B205" s="19"/>
      <c r="G205" s="176"/>
      <c r="H205" s="176"/>
      <c r="I205" s="176"/>
      <c r="J205" s="176"/>
      <c r="K205" s="176"/>
      <c r="L205" s="176"/>
      <c r="M205" s="176"/>
    </row>
    <row r="206" spans="2:13" s="1" customFormat="1">
      <c r="B206" s="19"/>
      <c r="G206" s="176"/>
      <c r="H206" s="176"/>
      <c r="I206" s="176"/>
      <c r="J206" s="176"/>
      <c r="K206" s="176"/>
      <c r="L206" s="176"/>
      <c r="M206" s="176"/>
    </row>
    <row r="207" spans="2:13" s="1" customFormat="1">
      <c r="B207" s="19"/>
      <c r="G207" s="176"/>
      <c r="H207" s="176"/>
      <c r="I207" s="176"/>
      <c r="J207" s="176"/>
      <c r="K207" s="176"/>
      <c r="L207" s="176"/>
      <c r="M207" s="176"/>
    </row>
    <row r="208" spans="2:13" s="1" customFormat="1">
      <c r="B208" s="19"/>
      <c r="G208" s="176"/>
      <c r="H208" s="176"/>
      <c r="I208" s="176"/>
      <c r="J208" s="176"/>
      <c r="K208" s="176"/>
      <c r="L208" s="176"/>
      <c r="M208" s="176"/>
    </row>
    <row r="209" spans="2:13" s="1" customFormat="1">
      <c r="B209" s="19"/>
      <c r="G209" s="176"/>
      <c r="H209" s="176"/>
      <c r="I209" s="176"/>
      <c r="J209" s="176"/>
      <c r="K209" s="176"/>
      <c r="L209" s="176"/>
      <c r="M209" s="176"/>
    </row>
    <row r="210" spans="2:13" s="1" customFormat="1">
      <c r="B210" s="19"/>
      <c r="G210" s="176"/>
      <c r="H210" s="176"/>
      <c r="I210" s="176"/>
      <c r="J210" s="176"/>
      <c r="K210" s="176"/>
      <c r="L210" s="176"/>
      <c r="M210" s="176"/>
    </row>
    <row r="211" spans="2:13" s="1" customFormat="1">
      <c r="B211" s="19"/>
      <c r="G211" s="176"/>
      <c r="H211" s="176"/>
      <c r="I211" s="176"/>
      <c r="J211" s="176"/>
      <c r="K211" s="176"/>
      <c r="L211" s="176"/>
      <c r="M211" s="176"/>
    </row>
    <row r="212" spans="2:13" s="1" customFormat="1">
      <c r="B212" s="19"/>
      <c r="G212" s="176"/>
      <c r="H212" s="176"/>
      <c r="I212" s="176"/>
      <c r="J212" s="176"/>
      <c r="K212" s="176"/>
      <c r="L212" s="176"/>
      <c r="M212" s="176"/>
    </row>
    <row r="213" spans="2:13" s="1" customFormat="1">
      <c r="B213" s="19"/>
      <c r="G213" s="176"/>
      <c r="H213" s="176"/>
      <c r="I213" s="176"/>
      <c r="J213" s="176"/>
      <c r="K213" s="176"/>
      <c r="L213" s="176"/>
      <c r="M213" s="176"/>
    </row>
    <row r="214" spans="2:13" s="1" customFormat="1">
      <c r="B214" s="19"/>
      <c r="G214" s="176"/>
      <c r="H214" s="176"/>
      <c r="I214" s="176"/>
      <c r="J214" s="176"/>
      <c r="K214" s="176"/>
      <c r="L214" s="176"/>
      <c r="M214" s="176"/>
    </row>
    <row r="215" spans="2:13" s="1" customFormat="1">
      <c r="B215" s="19"/>
      <c r="G215" s="176"/>
      <c r="H215" s="176"/>
      <c r="I215" s="176"/>
      <c r="J215" s="176"/>
      <c r="K215" s="176"/>
      <c r="L215" s="176"/>
      <c r="M215" s="176"/>
    </row>
    <row r="216" spans="2:13" s="1" customFormat="1">
      <c r="B216" s="19"/>
      <c r="G216" s="176"/>
      <c r="H216" s="176"/>
      <c r="I216" s="176"/>
      <c r="J216" s="176"/>
      <c r="K216" s="176"/>
      <c r="L216" s="176"/>
      <c r="M216" s="176"/>
    </row>
    <row r="217" spans="2:13" s="1" customFormat="1">
      <c r="B217" s="19"/>
      <c r="G217" s="176"/>
      <c r="H217" s="176"/>
      <c r="I217" s="176"/>
      <c r="J217" s="176"/>
      <c r="K217" s="176"/>
      <c r="L217" s="176"/>
      <c r="M217" s="176"/>
    </row>
    <row r="218" spans="2:13" s="1" customFormat="1">
      <c r="B218" s="19"/>
      <c r="G218" s="176"/>
      <c r="H218" s="176"/>
      <c r="I218" s="176"/>
      <c r="J218" s="176"/>
      <c r="K218" s="176"/>
      <c r="L218" s="176"/>
      <c r="M218" s="176"/>
    </row>
    <row r="219" spans="2:13" s="1" customFormat="1">
      <c r="B219" s="19"/>
      <c r="G219" s="176"/>
      <c r="H219" s="176"/>
      <c r="I219" s="176"/>
      <c r="J219" s="176"/>
      <c r="K219" s="176"/>
      <c r="L219" s="176"/>
      <c r="M219" s="176"/>
    </row>
    <row r="220" spans="2:13" s="1" customFormat="1">
      <c r="B220" s="19"/>
      <c r="G220" s="176"/>
      <c r="H220" s="176"/>
      <c r="I220" s="176"/>
      <c r="J220" s="176"/>
      <c r="K220" s="176"/>
      <c r="L220" s="176"/>
      <c r="M220" s="176"/>
    </row>
    <row r="221" spans="2:13" s="1" customFormat="1">
      <c r="B221" s="19"/>
      <c r="G221" s="176"/>
      <c r="H221" s="176"/>
      <c r="I221" s="176"/>
      <c r="J221" s="176"/>
      <c r="K221" s="176"/>
      <c r="L221" s="176"/>
      <c r="M221" s="176"/>
    </row>
    <row r="222" spans="2:13" s="1" customFormat="1">
      <c r="B222" s="19"/>
      <c r="G222" s="176"/>
      <c r="H222" s="176"/>
      <c r="I222" s="176"/>
      <c r="J222" s="176"/>
      <c r="K222" s="176"/>
      <c r="L222" s="176"/>
      <c r="M222" s="176"/>
    </row>
    <row r="223" spans="2:13" s="1" customFormat="1">
      <c r="B223" s="19"/>
      <c r="G223" s="176"/>
      <c r="H223" s="176"/>
      <c r="I223" s="176"/>
      <c r="J223" s="176"/>
      <c r="K223" s="176"/>
      <c r="L223" s="176"/>
      <c r="M223" s="176"/>
    </row>
    <row r="224" spans="2:13" s="1" customFormat="1">
      <c r="B224" s="19"/>
      <c r="G224" s="176"/>
      <c r="H224" s="176"/>
      <c r="I224" s="176"/>
      <c r="J224" s="176"/>
      <c r="K224" s="176"/>
      <c r="L224" s="176"/>
      <c r="M224" s="176"/>
    </row>
    <row r="225" spans="2:13" s="1" customFormat="1">
      <c r="B225" s="19"/>
      <c r="G225" s="176"/>
      <c r="H225" s="176"/>
      <c r="I225" s="176"/>
      <c r="J225" s="176"/>
      <c r="K225" s="176"/>
      <c r="L225" s="176"/>
      <c r="M225" s="176"/>
    </row>
    <row r="226" spans="2:13" s="1" customFormat="1">
      <c r="B226" s="19"/>
      <c r="G226" s="176"/>
      <c r="H226" s="176"/>
      <c r="I226" s="176"/>
      <c r="J226" s="176"/>
      <c r="K226" s="176"/>
      <c r="L226" s="176"/>
      <c r="M226" s="176"/>
    </row>
    <row r="227" spans="2:13" s="1" customFormat="1">
      <c r="B227" s="19"/>
      <c r="G227" s="176"/>
      <c r="H227" s="176"/>
      <c r="I227" s="176"/>
      <c r="J227" s="176"/>
      <c r="K227" s="176"/>
      <c r="L227" s="176"/>
      <c r="M227" s="176"/>
    </row>
    <row r="228" spans="2:13" s="1" customFormat="1">
      <c r="B228" s="19"/>
      <c r="G228" s="176"/>
      <c r="H228" s="176"/>
      <c r="I228" s="176"/>
      <c r="J228" s="176"/>
      <c r="K228" s="176"/>
      <c r="L228" s="176"/>
      <c r="M228" s="176"/>
    </row>
    <row r="229" spans="2:13" s="1" customFormat="1">
      <c r="B229" s="19"/>
      <c r="G229" s="176"/>
      <c r="H229" s="176"/>
      <c r="I229" s="176"/>
      <c r="J229" s="176"/>
      <c r="K229" s="176"/>
      <c r="L229" s="176"/>
      <c r="M229" s="176"/>
    </row>
    <row r="230" spans="2:13" s="1" customFormat="1">
      <c r="B230" s="19"/>
      <c r="G230" s="176"/>
      <c r="H230" s="176"/>
      <c r="I230" s="176"/>
      <c r="J230" s="176"/>
      <c r="K230" s="176"/>
      <c r="L230" s="176"/>
      <c r="M230" s="176"/>
    </row>
    <row r="231" spans="2:13" s="1" customFormat="1">
      <c r="B231" s="19"/>
      <c r="G231" s="176"/>
      <c r="H231" s="176"/>
      <c r="I231" s="176"/>
      <c r="J231" s="176"/>
      <c r="K231" s="176"/>
      <c r="L231" s="176"/>
      <c r="M231" s="176"/>
    </row>
    <row r="232" spans="2:13" s="1" customFormat="1">
      <c r="B232" s="19"/>
      <c r="G232" s="176"/>
      <c r="H232" s="176"/>
      <c r="I232" s="176"/>
      <c r="J232" s="176"/>
      <c r="K232" s="176"/>
      <c r="L232" s="176"/>
      <c r="M232" s="176"/>
    </row>
    <row r="233" spans="2:13" s="1" customFormat="1">
      <c r="B233" s="19"/>
      <c r="G233" s="176"/>
      <c r="H233" s="176"/>
      <c r="I233" s="176"/>
      <c r="J233" s="176"/>
      <c r="K233" s="176"/>
      <c r="L233" s="176"/>
      <c r="M233" s="176"/>
    </row>
    <row r="234" spans="2:13" s="1" customFormat="1">
      <c r="B234" s="19"/>
      <c r="G234" s="176"/>
      <c r="H234" s="176"/>
      <c r="I234" s="176"/>
      <c r="J234" s="176"/>
      <c r="K234" s="176"/>
      <c r="L234" s="176"/>
      <c r="M234" s="176"/>
    </row>
    <row r="235" spans="2:13" s="1" customFormat="1">
      <c r="B235" s="19"/>
      <c r="G235" s="176"/>
      <c r="H235" s="176"/>
      <c r="I235" s="176"/>
      <c r="J235" s="176"/>
      <c r="K235" s="176"/>
      <c r="L235" s="176"/>
      <c r="M235" s="176"/>
    </row>
    <row r="236" spans="2:13" s="1" customFormat="1">
      <c r="B236" s="19"/>
      <c r="G236" s="176"/>
      <c r="H236" s="176"/>
      <c r="I236" s="176"/>
      <c r="J236" s="176"/>
      <c r="K236" s="176"/>
      <c r="L236" s="176"/>
      <c r="M236" s="176"/>
    </row>
    <row r="237" spans="2:13" s="1" customFormat="1">
      <c r="B237" s="19"/>
      <c r="G237" s="176"/>
      <c r="H237" s="176"/>
      <c r="I237" s="176"/>
      <c r="J237" s="176"/>
      <c r="K237" s="176"/>
      <c r="L237" s="176"/>
      <c r="M237" s="176"/>
    </row>
    <row r="238" spans="2:13" s="1" customFormat="1">
      <c r="B238" s="19"/>
      <c r="G238" s="176"/>
      <c r="H238" s="176"/>
      <c r="I238" s="176"/>
      <c r="J238" s="176"/>
      <c r="K238" s="176"/>
      <c r="L238" s="176"/>
      <c r="M238" s="176"/>
    </row>
    <row r="239" spans="2:13" s="1" customFormat="1">
      <c r="B239" s="19"/>
      <c r="G239" s="176"/>
      <c r="H239" s="176"/>
      <c r="I239" s="176"/>
      <c r="J239" s="176"/>
      <c r="K239" s="176"/>
      <c r="L239" s="176"/>
      <c r="M239" s="176"/>
    </row>
    <row r="240" spans="2:13" s="1" customFormat="1">
      <c r="B240" s="19"/>
      <c r="G240" s="176"/>
      <c r="H240" s="176"/>
      <c r="I240" s="176"/>
      <c r="J240" s="176"/>
      <c r="K240" s="176"/>
      <c r="L240" s="176"/>
      <c r="M240" s="176"/>
    </row>
    <row r="241" spans="2:13" s="1" customFormat="1">
      <c r="B241" s="19"/>
      <c r="G241" s="176"/>
      <c r="H241" s="176"/>
      <c r="I241" s="176"/>
      <c r="J241" s="176"/>
      <c r="K241" s="176"/>
      <c r="L241" s="176"/>
      <c r="M241" s="176"/>
    </row>
    <row r="242" spans="2:13" s="1" customFormat="1">
      <c r="B242" s="19"/>
      <c r="G242" s="176"/>
      <c r="H242" s="176"/>
      <c r="I242" s="176"/>
      <c r="J242" s="176"/>
      <c r="K242" s="176"/>
      <c r="L242" s="176"/>
      <c r="M242" s="176"/>
    </row>
    <row r="243" spans="2:13" s="1" customFormat="1">
      <c r="B243" s="19"/>
      <c r="G243" s="176"/>
      <c r="H243" s="176"/>
      <c r="I243" s="176"/>
      <c r="J243" s="176"/>
      <c r="K243" s="176"/>
      <c r="L243" s="176"/>
      <c r="M243" s="176"/>
    </row>
    <row r="244" spans="2:13" s="1" customFormat="1">
      <c r="B244" s="19"/>
      <c r="G244" s="176"/>
      <c r="H244" s="176"/>
      <c r="I244" s="176"/>
      <c r="J244" s="176"/>
      <c r="K244" s="176"/>
      <c r="L244" s="176"/>
      <c r="M244" s="176"/>
    </row>
    <row r="245" spans="2:13" s="1" customFormat="1">
      <c r="B245" s="19"/>
      <c r="G245" s="176"/>
      <c r="H245" s="176"/>
      <c r="I245" s="176"/>
      <c r="J245" s="176"/>
      <c r="K245" s="176"/>
      <c r="L245" s="176"/>
      <c r="M245" s="176"/>
    </row>
    <row r="246" spans="2:13" s="1" customFormat="1">
      <c r="B246" s="19"/>
      <c r="G246" s="176"/>
      <c r="H246" s="176"/>
      <c r="I246" s="176"/>
      <c r="J246" s="176"/>
      <c r="K246" s="176"/>
      <c r="L246" s="176"/>
      <c r="M246" s="176"/>
    </row>
    <row r="247" spans="2:13" s="1" customFormat="1">
      <c r="B247" s="19"/>
      <c r="G247" s="176"/>
      <c r="H247" s="176"/>
      <c r="I247" s="176"/>
      <c r="J247" s="176"/>
      <c r="K247" s="176"/>
      <c r="L247" s="176"/>
      <c r="M247" s="176"/>
    </row>
    <row r="248" spans="2:13" s="1" customFormat="1">
      <c r="B248" s="19"/>
      <c r="G248" s="176"/>
      <c r="H248" s="176"/>
      <c r="I248" s="176"/>
      <c r="J248" s="176"/>
      <c r="K248" s="176"/>
      <c r="L248" s="176"/>
      <c r="M248" s="176"/>
    </row>
    <row r="249" spans="2:13" s="1" customFormat="1">
      <c r="B249" s="19"/>
      <c r="G249" s="176"/>
      <c r="H249" s="176"/>
      <c r="I249" s="176"/>
      <c r="J249" s="176"/>
      <c r="K249" s="176"/>
      <c r="L249" s="176"/>
      <c r="M249" s="176"/>
    </row>
    <row r="250" spans="2:13" s="1" customFormat="1">
      <c r="B250" s="19"/>
      <c r="G250" s="176"/>
      <c r="H250" s="176"/>
      <c r="I250" s="176"/>
      <c r="J250" s="176"/>
      <c r="K250" s="176"/>
      <c r="L250" s="176"/>
      <c r="M250" s="176"/>
    </row>
    <row r="251" spans="2:13" s="1" customFormat="1">
      <c r="B251" s="19"/>
      <c r="G251" s="176"/>
      <c r="H251" s="176"/>
      <c r="I251" s="176"/>
      <c r="J251" s="176"/>
      <c r="K251" s="176"/>
      <c r="L251" s="176"/>
      <c r="M251" s="176"/>
    </row>
    <row r="252" spans="2:13" s="1" customFormat="1">
      <c r="B252" s="19"/>
      <c r="G252" s="176"/>
      <c r="H252" s="176"/>
      <c r="I252" s="176"/>
      <c r="J252" s="176"/>
      <c r="K252" s="176"/>
      <c r="L252" s="176"/>
      <c r="M252" s="176"/>
    </row>
    <row r="253" spans="2:13" s="1" customFormat="1">
      <c r="B253" s="19"/>
      <c r="G253" s="176"/>
      <c r="H253" s="176"/>
      <c r="I253" s="176"/>
      <c r="J253" s="176"/>
      <c r="K253" s="176"/>
      <c r="L253" s="176"/>
      <c r="M253" s="176"/>
    </row>
    <row r="254" spans="2:13" s="1" customFormat="1">
      <c r="B254" s="19"/>
      <c r="G254" s="176"/>
      <c r="H254" s="176"/>
      <c r="I254" s="176"/>
      <c r="J254" s="176"/>
      <c r="K254" s="176"/>
      <c r="L254" s="176"/>
      <c r="M254" s="176"/>
    </row>
    <row r="255" spans="2:13" s="1" customFormat="1">
      <c r="B255" s="19"/>
      <c r="G255" s="176"/>
      <c r="H255" s="176"/>
      <c r="I255" s="176"/>
      <c r="J255" s="176"/>
      <c r="K255" s="176"/>
      <c r="L255" s="176"/>
      <c r="M255" s="176"/>
    </row>
    <row r="256" spans="2:13" s="1" customFormat="1">
      <c r="B256" s="19"/>
      <c r="G256" s="176"/>
      <c r="H256" s="176"/>
      <c r="I256" s="176"/>
      <c r="J256" s="176"/>
      <c r="K256" s="176"/>
      <c r="L256" s="176"/>
      <c r="M256" s="176"/>
    </row>
    <row r="257" spans="2:13" s="1" customFormat="1">
      <c r="B257" s="19"/>
      <c r="G257" s="176"/>
      <c r="H257" s="176"/>
      <c r="I257" s="176"/>
      <c r="J257" s="176"/>
      <c r="K257" s="176"/>
      <c r="L257" s="176"/>
      <c r="M257" s="176"/>
    </row>
    <row r="258" spans="2:13" s="1" customFormat="1">
      <c r="B258" s="19"/>
      <c r="G258" s="176"/>
      <c r="H258" s="176"/>
      <c r="I258" s="176"/>
      <c r="J258" s="176"/>
      <c r="K258" s="176"/>
      <c r="L258" s="176"/>
      <c r="M258" s="176"/>
    </row>
    <row r="259" spans="2:13" s="1" customFormat="1">
      <c r="B259" s="19"/>
      <c r="G259" s="176"/>
      <c r="H259" s="176"/>
      <c r="I259" s="176"/>
      <c r="J259" s="176"/>
      <c r="K259" s="176"/>
      <c r="L259" s="176"/>
      <c r="M259" s="176"/>
    </row>
    <row r="260" spans="2:13" s="1" customFormat="1">
      <c r="B260" s="19"/>
      <c r="G260" s="176"/>
      <c r="H260" s="176"/>
      <c r="I260" s="176"/>
      <c r="J260" s="176"/>
      <c r="K260" s="176"/>
      <c r="L260" s="176"/>
      <c r="M260" s="176"/>
    </row>
    <row r="261" spans="2:13" s="1" customFormat="1">
      <c r="B261" s="19"/>
      <c r="G261" s="176"/>
      <c r="H261" s="176"/>
      <c r="I261" s="176"/>
      <c r="J261" s="176"/>
      <c r="K261" s="176"/>
      <c r="L261" s="176"/>
      <c r="M261" s="176"/>
    </row>
    <row r="262" spans="2:13" s="1" customFormat="1">
      <c r="B262" s="19"/>
      <c r="G262" s="176"/>
      <c r="H262" s="176"/>
      <c r="I262" s="176"/>
      <c r="J262" s="176"/>
      <c r="K262" s="176"/>
      <c r="L262" s="176"/>
      <c r="M262" s="176"/>
    </row>
    <row r="263" spans="2:13" s="1" customFormat="1">
      <c r="B263" s="19"/>
      <c r="G263" s="176"/>
      <c r="H263" s="176"/>
      <c r="I263" s="176"/>
      <c r="J263" s="176"/>
      <c r="K263" s="176"/>
      <c r="L263" s="176"/>
      <c r="M263" s="176"/>
    </row>
    <row r="264" spans="2:13" s="1" customFormat="1">
      <c r="B264" s="19"/>
      <c r="G264" s="176"/>
      <c r="H264" s="176"/>
      <c r="I264" s="176"/>
      <c r="J264" s="176"/>
      <c r="K264" s="176"/>
      <c r="L264" s="176"/>
      <c r="M264" s="176"/>
    </row>
    <row r="265" spans="2:13" s="1" customFormat="1">
      <c r="B265" s="19"/>
      <c r="G265" s="176"/>
      <c r="H265" s="176"/>
      <c r="I265" s="176"/>
      <c r="J265" s="176"/>
      <c r="K265" s="176"/>
      <c r="L265" s="176"/>
      <c r="M265" s="176"/>
    </row>
    <row r="266" spans="2:13" s="1" customFormat="1">
      <c r="B266" s="19"/>
      <c r="G266" s="176"/>
      <c r="H266" s="176"/>
      <c r="I266" s="176"/>
      <c r="J266" s="176"/>
      <c r="K266" s="176"/>
      <c r="L266" s="176"/>
      <c r="M266" s="176"/>
    </row>
    <row r="267" spans="2:13" s="1" customFormat="1">
      <c r="B267" s="19"/>
      <c r="G267" s="176"/>
      <c r="H267" s="176"/>
      <c r="I267" s="176"/>
      <c r="J267" s="176"/>
      <c r="K267" s="176"/>
      <c r="L267" s="176"/>
      <c r="M267" s="176"/>
    </row>
    <row r="268" spans="2:13" s="1" customFormat="1">
      <c r="B268" s="19"/>
      <c r="G268" s="176"/>
      <c r="H268" s="176"/>
      <c r="I268" s="176"/>
      <c r="J268" s="176"/>
      <c r="K268" s="176"/>
      <c r="L268" s="176"/>
      <c r="M268" s="176"/>
    </row>
    <row r="269" spans="2:13" s="1" customFormat="1">
      <c r="B269" s="19"/>
      <c r="G269" s="176"/>
      <c r="H269" s="176"/>
      <c r="I269" s="176"/>
      <c r="J269" s="176"/>
      <c r="K269" s="176"/>
      <c r="L269" s="176"/>
      <c r="M269" s="176"/>
    </row>
    <row r="270" spans="2:13" s="1" customFormat="1">
      <c r="B270" s="19"/>
      <c r="G270" s="176"/>
      <c r="H270" s="176"/>
      <c r="I270" s="176"/>
      <c r="J270" s="176"/>
      <c r="K270" s="176"/>
      <c r="L270" s="176"/>
      <c r="M270" s="176"/>
    </row>
    <row r="271" spans="2:13" s="1" customFormat="1">
      <c r="B271" s="19"/>
      <c r="G271" s="176"/>
      <c r="H271" s="176"/>
      <c r="I271" s="176"/>
      <c r="J271" s="176"/>
      <c r="K271" s="176"/>
      <c r="L271" s="176"/>
      <c r="M271" s="176"/>
    </row>
    <row r="272" spans="2:13" s="1" customFormat="1">
      <c r="B272" s="19"/>
      <c r="G272" s="176"/>
      <c r="H272" s="176"/>
      <c r="I272" s="176"/>
      <c r="J272" s="176"/>
      <c r="K272" s="176"/>
      <c r="L272" s="176"/>
      <c r="M272" s="176"/>
    </row>
    <row r="273" spans="2:13" s="1" customFormat="1">
      <c r="B273" s="19"/>
      <c r="G273" s="176"/>
      <c r="H273" s="176"/>
      <c r="I273" s="176"/>
      <c r="J273" s="176"/>
      <c r="K273" s="176"/>
      <c r="L273" s="176"/>
      <c r="M273" s="176"/>
    </row>
    <row r="274" spans="2:13" s="1" customFormat="1">
      <c r="B274" s="19"/>
      <c r="G274" s="176"/>
      <c r="H274" s="176"/>
      <c r="I274" s="176"/>
      <c r="J274" s="176"/>
      <c r="K274" s="176"/>
      <c r="L274" s="176"/>
      <c r="M274" s="176"/>
    </row>
    <row r="275" spans="2:13" s="1" customFormat="1">
      <c r="B275" s="19"/>
      <c r="G275" s="176"/>
      <c r="H275" s="176"/>
      <c r="I275" s="176"/>
      <c r="J275" s="176"/>
      <c r="K275" s="176"/>
      <c r="L275" s="176"/>
      <c r="M275" s="176"/>
    </row>
    <row r="276" spans="2:13" s="1" customFormat="1">
      <c r="B276" s="19"/>
      <c r="G276" s="176"/>
      <c r="H276" s="176"/>
      <c r="I276" s="176"/>
      <c r="J276" s="176"/>
      <c r="K276" s="176"/>
      <c r="L276" s="176"/>
      <c r="M276" s="176"/>
    </row>
    <row r="277" spans="2:13" s="1" customFormat="1">
      <c r="B277" s="19"/>
      <c r="G277" s="176"/>
      <c r="H277" s="176"/>
      <c r="I277" s="176"/>
      <c r="J277" s="176"/>
      <c r="K277" s="176"/>
      <c r="L277" s="176"/>
      <c r="M277" s="176"/>
    </row>
    <row r="278" spans="2:13" s="1" customFormat="1">
      <c r="B278" s="19"/>
      <c r="G278" s="176"/>
      <c r="H278" s="176"/>
      <c r="I278" s="176"/>
      <c r="J278" s="176"/>
      <c r="K278" s="176"/>
      <c r="L278" s="176"/>
      <c r="M278" s="176"/>
    </row>
    <row r="279" spans="2:13" s="1" customFormat="1">
      <c r="B279" s="19"/>
      <c r="G279" s="176"/>
      <c r="H279" s="176"/>
      <c r="I279" s="176"/>
      <c r="J279" s="176"/>
      <c r="K279" s="176"/>
      <c r="L279" s="176"/>
      <c r="M279" s="176"/>
    </row>
    <row r="280" spans="2:13" s="1" customFormat="1">
      <c r="B280" s="19"/>
      <c r="G280" s="176"/>
      <c r="H280" s="176"/>
      <c r="I280" s="176"/>
      <c r="J280" s="176"/>
      <c r="K280" s="176"/>
      <c r="L280" s="176"/>
      <c r="M280" s="176"/>
    </row>
    <row r="281" spans="2:13" s="1" customFormat="1">
      <c r="B281" s="19"/>
      <c r="G281" s="176"/>
      <c r="H281" s="176"/>
      <c r="I281" s="176"/>
      <c r="J281" s="176"/>
      <c r="K281" s="176"/>
      <c r="L281" s="176"/>
      <c r="M281" s="176"/>
    </row>
    <row r="282" spans="2:13" s="1" customFormat="1">
      <c r="B282" s="19"/>
      <c r="G282" s="176"/>
      <c r="H282" s="176"/>
      <c r="I282" s="176"/>
      <c r="J282" s="176"/>
      <c r="K282" s="176"/>
      <c r="L282" s="176"/>
      <c r="M282" s="176"/>
    </row>
    <row r="283" spans="2:13" s="1" customFormat="1">
      <c r="B283" s="19"/>
      <c r="G283" s="176"/>
      <c r="H283" s="176"/>
      <c r="I283" s="176"/>
      <c r="J283" s="176"/>
      <c r="K283" s="176"/>
      <c r="L283" s="176"/>
      <c r="M283" s="176"/>
    </row>
    <row r="284" spans="2:13" s="1" customFormat="1">
      <c r="B284" s="19"/>
      <c r="G284" s="176"/>
      <c r="H284" s="176"/>
      <c r="I284" s="176"/>
      <c r="J284" s="176"/>
      <c r="K284" s="176"/>
      <c r="L284" s="176"/>
      <c r="M284" s="176"/>
    </row>
    <row r="285" spans="2:13" s="1" customFormat="1">
      <c r="B285" s="19"/>
      <c r="G285" s="176"/>
      <c r="H285" s="176"/>
      <c r="I285" s="176"/>
      <c r="J285" s="176"/>
      <c r="K285" s="176"/>
      <c r="L285" s="176"/>
      <c r="M285" s="176"/>
    </row>
    <row r="286" spans="2:13" s="1" customFormat="1">
      <c r="B286" s="19"/>
      <c r="G286" s="176"/>
      <c r="H286" s="176"/>
      <c r="I286" s="176"/>
      <c r="J286" s="176"/>
      <c r="K286" s="176"/>
      <c r="L286" s="176"/>
      <c r="M286" s="176"/>
    </row>
    <row r="287" spans="2:13" s="1" customFormat="1">
      <c r="B287" s="19"/>
      <c r="G287" s="176"/>
      <c r="H287" s="176"/>
      <c r="I287" s="176"/>
      <c r="J287" s="176"/>
      <c r="K287" s="176"/>
      <c r="L287" s="176"/>
      <c r="M287" s="176"/>
    </row>
    <row r="288" spans="2:13" s="1" customFormat="1">
      <c r="B288" s="19"/>
      <c r="G288" s="176"/>
      <c r="H288" s="176"/>
      <c r="I288" s="176"/>
      <c r="J288" s="176"/>
      <c r="K288" s="176"/>
      <c r="L288" s="176"/>
      <c r="M288" s="176"/>
    </row>
    <row r="289" spans="2:13" s="1" customFormat="1">
      <c r="B289" s="19"/>
      <c r="G289" s="176"/>
      <c r="H289" s="176"/>
      <c r="I289" s="176"/>
      <c r="J289" s="176"/>
      <c r="K289" s="176"/>
      <c r="L289" s="176"/>
      <c r="M289" s="176"/>
    </row>
    <row r="290" spans="2:13" s="1" customFormat="1">
      <c r="B290" s="19"/>
      <c r="G290" s="176"/>
      <c r="H290" s="176"/>
      <c r="I290" s="176"/>
      <c r="J290" s="176"/>
      <c r="K290" s="176"/>
      <c r="L290" s="176"/>
      <c r="M290" s="176"/>
    </row>
    <row r="291" spans="2:13" s="1" customFormat="1">
      <c r="B291" s="19"/>
      <c r="G291" s="176"/>
      <c r="H291" s="176"/>
      <c r="I291" s="176"/>
      <c r="J291" s="176"/>
      <c r="K291" s="176"/>
      <c r="L291" s="176"/>
      <c r="M291" s="176"/>
    </row>
    <row r="292" spans="2:13" s="1" customFormat="1">
      <c r="B292" s="19"/>
      <c r="G292" s="176"/>
      <c r="H292" s="176"/>
      <c r="I292" s="176"/>
      <c r="J292" s="176"/>
      <c r="K292" s="176"/>
      <c r="L292" s="176"/>
      <c r="M292" s="176"/>
    </row>
    <row r="293" spans="2:13" s="1" customFormat="1">
      <c r="B293" s="19"/>
      <c r="G293" s="176"/>
      <c r="H293" s="176"/>
      <c r="I293" s="176"/>
      <c r="J293" s="176"/>
      <c r="K293" s="176"/>
      <c r="L293" s="176"/>
      <c r="M293" s="176"/>
    </row>
    <row r="294" spans="2:13" s="1" customFormat="1">
      <c r="B294" s="19"/>
      <c r="G294" s="176"/>
      <c r="H294" s="176"/>
      <c r="I294" s="176"/>
      <c r="J294" s="176"/>
      <c r="K294" s="176"/>
      <c r="L294" s="176"/>
      <c r="M294" s="176"/>
    </row>
    <row r="295" spans="2:13" s="1" customFormat="1">
      <c r="B295" s="19"/>
      <c r="G295" s="176"/>
      <c r="H295" s="176"/>
      <c r="I295" s="176"/>
      <c r="J295" s="176"/>
      <c r="K295" s="176"/>
      <c r="L295" s="176"/>
      <c r="M295" s="176"/>
    </row>
    <row r="296" spans="2:13" s="1" customFormat="1">
      <c r="B296" s="19"/>
      <c r="G296" s="176"/>
      <c r="H296" s="176"/>
      <c r="I296" s="176"/>
      <c r="J296" s="176"/>
      <c r="K296" s="176"/>
      <c r="L296" s="176"/>
      <c r="M296" s="176"/>
    </row>
    <row r="297" spans="2:13" s="1" customFormat="1">
      <c r="B297" s="19"/>
      <c r="G297" s="176"/>
      <c r="H297" s="176"/>
      <c r="I297" s="176"/>
      <c r="J297" s="176"/>
      <c r="K297" s="176"/>
      <c r="L297" s="176"/>
      <c r="M297" s="176"/>
    </row>
    <row r="298" spans="2:13" s="1" customFormat="1">
      <c r="B298" s="19"/>
      <c r="G298" s="176"/>
      <c r="H298" s="176"/>
      <c r="I298" s="176"/>
      <c r="J298" s="176"/>
      <c r="K298" s="176"/>
      <c r="L298" s="176"/>
      <c r="M298" s="176"/>
    </row>
    <row r="299" spans="2:13" s="1" customFormat="1">
      <c r="B299" s="19"/>
      <c r="G299" s="176"/>
      <c r="H299" s="176"/>
      <c r="I299" s="176"/>
      <c r="J299" s="176"/>
      <c r="K299" s="176"/>
      <c r="L299" s="176"/>
      <c r="M299" s="176"/>
    </row>
    <row r="300" spans="2:13" s="1" customFormat="1">
      <c r="B300" s="19"/>
      <c r="G300" s="176"/>
      <c r="H300" s="176"/>
      <c r="I300" s="176"/>
      <c r="J300" s="176"/>
      <c r="K300" s="176"/>
      <c r="L300" s="176"/>
      <c r="M300" s="176"/>
    </row>
    <row r="301" spans="2:13" s="1" customFormat="1">
      <c r="B301" s="19"/>
      <c r="G301" s="176"/>
      <c r="H301" s="176"/>
      <c r="I301" s="176"/>
      <c r="J301" s="176"/>
      <c r="K301" s="176"/>
      <c r="L301" s="176"/>
      <c r="M301" s="176"/>
    </row>
    <row r="302" spans="2:13" s="1" customFormat="1">
      <c r="B302" s="19"/>
      <c r="G302" s="176"/>
      <c r="H302" s="176"/>
      <c r="I302" s="176"/>
      <c r="J302" s="176"/>
      <c r="K302" s="176"/>
      <c r="L302" s="176"/>
      <c r="M302" s="176"/>
    </row>
    <row r="303" spans="2:13" s="1" customFormat="1">
      <c r="B303" s="19"/>
      <c r="G303" s="176"/>
      <c r="H303" s="176"/>
      <c r="I303" s="176"/>
      <c r="J303" s="176"/>
      <c r="K303" s="176"/>
      <c r="L303" s="176"/>
      <c r="M303" s="176"/>
    </row>
    <row r="304" spans="2:13" s="1" customFormat="1">
      <c r="B304" s="19"/>
      <c r="G304" s="176"/>
      <c r="H304" s="176"/>
      <c r="I304" s="176"/>
      <c r="J304" s="176"/>
      <c r="K304" s="176"/>
      <c r="L304" s="176"/>
      <c r="M304" s="176"/>
    </row>
    <row r="305" spans="2:13" s="1" customFormat="1">
      <c r="B305" s="19"/>
      <c r="G305" s="176"/>
      <c r="H305" s="176"/>
      <c r="I305" s="176"/>
      <c r="J305" s="176"/>
      <c r="K305" s="176"/>
      <c r="L305" s="176"/>
      <c r="M305" s="176"/>
    </row>
    <row r="306" spans="2:13" s="1" customFormat="1">
      <c r="B306" s="19"/>
      <c r="G306" s="176"/>
      <c r="H306" s="176"/>
      <c r="I306" s="176"/>
      <c r="J306" s="176"/>
      <c r="K306" s="176"/>
      <c r="L306" s="176"/>
      <c r="M306" s="176"/>
    </row>
    <row r="307" spans="2:13" s="1" customFormat="1">
      <c r="B307" s="19"/>
      <c r="G307" s="176"/>
      <c r="H307" s="176"/>
      <c r="I307" s="176"/>
      <c r="J307" s="176"/>
      <c r="K307" s="176"/>
      <c r="L307" s="176"/>
      <c r="M307" s="176"/>
    </row>
    <row r="308" spans="2:13" s="1" customFormat="1">
      <c r="B308" s="19"/>
      <c r="G308" s="176"/>
      <c r="H308" s="176"/>
      <c r="I308" s="176"/>
      <c r="J308" s="176"/>
      <c r="K308" s="176"/>
      <c r="L308" s="176"/>
      <c r="M308" s="176"/>
    </row>
    <row r="309" spans="2:13" s="1" customFormat="1">
      <c r="B309" s="19"/>
      <c r="G309" s="176"/>
      <c r="H309" s="176"/>
      <c r="I309" s="176"/>
      <c r="J309" s="176"/>
      <c r="K309" s="176"/>
      <c r="L309" s="176"/>
      <c r="M309" s="176"/>
    </row>
    <row r="310" spans="2:13" s="1" customFormat="1">
      <c r="B310" s="19"/>
      <c r="G310" s="176"/>
      <c r="H310" s="176"/>
      <c r="I310" s="176"/>
      <c r="J310" s="176"/>
      <c r="K310" s="176"/>
      <c r="L310" s="176"/>
      <c r="M310" s="176"/>
    </row>
    <row r="311" spans="2:13" s="1" customFormat="1">
      <c r="B311" s="19"/>
      <c r="G311" s="176"/>
      <c r="H311" s="176"/>
      <c r="I311" s="176"/>
      <c r="J311" s="176"/>
      <c r="K311" s="176"/>
      <c r="L311" s="176"/>
      <c r="M311" s="176"/>
    </row>
    <row r="312" spans="2:13" s="1" customFormat="1">
      <c r="B312" s="19"/>
      <c r="G312" s="176"/>
      <c r="H312" s="176"/>
      <c r="I312" s="176"/>
      <c r="J312" s="176"/>
      <c r="K312" s="176"/>
      <c r="L312" s="176"/>
      <c r="M312" s="176"/>
    </row>
    <row r="313" spans="2:13" s="1" customFormat="1">
      <c r="B313" s="19"/>
      <c r="G313" s="176"/>
      <c r="H313" s="176"/>
      <c r="I313" s="176"/>
      <c r="J313" s="176"/>
      <c r="K313" s="176"/>
      <c r="L313" s="176"/>
      <c r="M313" s="176"/>
    </row>
    <row r="314" spans="2:13" s="1" customFormat="1">
      <c r="B314" s="19"/>
      <c r="G314" s="176"/>
      <c r="H314" s="176"/>
      <c r="I314" s="176"/>
      <c r="J314" s="176"/>
      <c r="K314" s="176"/>
      <c r="L314" s="176"/>
      <c r="M314" s="176"/>
    </row>
    <row r="315" spans="2:13" s="1" customFormat="1">
      <c r="B315" s="19"/>
      <c r="G315" s="176"/>
      <c r="H315" s="176"/>
      <c r="I315" s="176"/>
      <c r="J315" s="176"/>
      <c r="K315" s="176"/>
      <c r="L315" s="176"/>
      <c r="M315" s="176"/>
    </row>
    <row r="316" spans="2:13" s="1" customFormat="1">
      <c r="B316" s="19"/>
      <c r="G316" s="176"/>
      <c r="H316" s="176"/>
      <c r="I316" s="176"/>
      <c r="J316" s="176"/>
      <c r="K316" s="176"/>
      <c r="L316" s="176"/>
      <c r="M316" s="176"/>
    </row>
    <row r="317" spans="2:13" s="1" customFormat="1">
      <c r="B317" s="19"/>
      <c r="G317" s="176"/>
      <c r="H317" s="176"/>
      <c r="I317" s="176"/>
      <c r="J317" s="176"/>
      <c r="K317" s="176"/>
      <c r="L317" s="176"/>
      <c r="M317" s="176"/>
    </row>
    <row r="318" spans="2:13" s="1" customFormat="1">
      <c r="B318" s="19"/>
      <c r="G318" s="176"/>
      <c r="H318" s="176"/>
      <c r="I318" s="176"/>
      <c r="J318" s="176"/>
      <c r="K318" s="176"/>
      <c r="L318" s="176"/>
      <c r="M318" s="176"/>
    </row>
    <row r="319" spans="2:13" s="1" customFormat="1">
      <c r="B319" s="19"/>
      <c r="G319" s="176"/>
      <c r="H319" s="176"/>
      <c r="I319" s="176"/>
      <c r="J319" s="176"/>
      <c r="K319" s="176"/>
      <c r="L319" s="176"/>
      <c r="M319" s="176"/>
    </row>
    <row r="320" spans="2:13" s="1" customFormat="1">
      <c r="B320" s="19"/>
      <c r="G320" s="176"/>
      <c r="H320" s="176"/>
      <c r="I320" s="176"/>
      <c r="J320" s="176"/>
      <c r="K320" s="176"/>
      <c r="L320" s="176"/>
      <c r="M320" s="176"/>
    </row>
    <row r="321" spans="2:13" s="1" customFormat="1">
      <c r="B321" s="19"/>
      <c r="G321" s="176"/>
      <c r="H321" s="176"/>
      <c r="I321" s="176"/>
      <c r="J321" s="176"/>
      <c r="K321" s="176"/>
      <c r="L321" s="176"/>
      <c r="M321" s="176"/>
    </row>
    <row r="322" spans="2:13" s="1" customFormat="1">
      <c r="B322" s="19"/>
      <c r="G322" s="176"/>
      <c r="H322" s="176"/>
      <c r="I322" s="176"/>
      <c r="J322" s="176"/>
      <c r="K322" s="176"/>
      <c r="L322" s="176"/>
      <c r="M322" s="176"/>
    </row>
    <row r="323" spans="2:13" s="1" customFormat="1">
      <c r="B323" s="19"/>
      <c r="G323" s="176"/>
      <c r="H323" s="176"/>
      <c r="I323" s="176"/>
      <c r="J323" s="176"/>
      <c r="K323" s="176"/>
      <c r="L323" s="176"/>
      <c r="M323" s="176"/>
    </row>
    <row r="324" spans="2:13" s="1" customFormat="1">
      <c r="B324" s="19"/>
      <c r="G324" s="176"/>
      <c r="H324" s="176"/>
      <c r="I324" s="176"/>
      <c r="J324" s="176"/>
      <c r="K324" s="176"/>
      <c r="L324" s="176"/>
      <c r="M324" s="176"/>
    </row>
    <row r="325" spans="2:13" s="1" customFormat="1">
      <c r="B325" s="19"/>
      <c r="G325" s="176"/>
      <c r="H325" s="176"/>
      <c r="I325" s="176"/>
      <c r="J325" s="176"/>
      <c r="K325" s="176"/>
      <c r="L325" s="176"/>
      <c r="M325" s="176"/>
    </row>
    <row r="326" spans="2:13" s="1" customFormat="1">
      <c r="B326" s="19"/>
      <c r="G326" s="176"/>
      <c r="H326" s="176"/>
      <c r="I326" s="176"/>
      <c r="J326" s="176"/>
      <c r="K326" s="176"/>
      <c r="L326" s="176"/>
      <c r="M326" s="176"/>
    </row>
    <row r="327" spans="2:13" s="1" customFormat="1">
      <c r="B327" s="19"/>
      <c r="G327" s="176"/>
      <c r="H327" s="176"/>
      <c r="I327" s="176"/>
      <c r="J327" s="176"/>
      <c r="K327" s="176"/>
      <c r="L327" s="176"/>
      <c r="M327" s="176"/>
    </row>
    <row r="328" spans="2:13" s="1" customFormat="1">
      <c r="B328" s="19"/>
      <c r="G328" s="176"/>
      <c r="H328" s="176"/>
      <c r="I328" s="176"/>
      <c r="J328" s="176"/>
      <c r="K328" s="176"/>
      <c r="L328" s="176"/>
      <c r="M328" s="176"/>
    </row>
    <row r="329" spans="2:13" s="1" customFormat="1">
      <c r="B329" s="19"/>
      <c r="G329" s="176"/>
      <c r="H329" s="176"/>
      <c r="I329" s="176"/>
      <c r="J329" s="176"/>
      <c r="K329" s="176"/>
      <c r="L329" s="176"/>
      <c r="M329" s="176"/>
    </row>
    <row r="330" spans="2:13" s="1" customFormat="1">
      <c r="B330" s="19"/>
      <c r="G330" s="176"/>
      <c r="H330" s="176"/>
      <c r="I330" s="176"/>
      <c r="J330" s="176"/>
      <c r="K330" s="176"/>
      <c r="L330" s="176"/>
      <c r="M330" s="176"/>
    </row>
    <row r="331" spans="2:13" s="1" customFormat="1">
      <c r="B331" s="19"/>
      <c r="G331" s="176"/>
      <c r="H331" s="176"/>
      <c r="I331" s="176"/>
      <c r="J331" s="176"/>
      <c r="K331" s="176"/>
      <c r="L331" s="176"/>
      <c r="M331" s="176"/>
    </row>
    <row r="332" spans="2:13" s="1" customFormat="1">
      <c r="B332" s="19"/>
      <c r="G332" s="176"/>
      <c r="H332" s="176"/>
      <c r="I332" s="176"/>
      <c r="J332" s="176"/>
      <c r="K332" s="176"/>
      <c r="L332" s="176"/>
      <c r="M332" s="176"/>
    </row>
    <row r="333" spans="2:13" s="1" customFormat="1">
      <c r="B333" s="19"/>
      <c r="G333" s="176"/>
      <c r="H333" s="176"/>
      <c r="I333" s="176"/>
      <c r="J333" s="176"/>
      <c r="K333" s="176"/>
      <c r="L333" s="176"/>
      <c r="M333" s="176"/>
    </row>
    <row r="334" spans="2:13" s="1" customFormat="1">
      <c r="B334" s="19"/>
      <c r="G334" s="176"/>
      <c r="H334" s="176"/>
      <c r="I334" s="176"/>
      <c r="J334" s="176"/>
      <c r="K334" s="176"/>
      <c r="L334" s="176"/>
      <c r="M334" s="176"/>
    </row>
    <row r="335" spans="2:13" s="1" customFormat="1">
      <c r="B335" s="19"/>
      <c r="G335" s="176"/>
      <c r="H335" s="176"/>
      <c r="I335" s="176"/>
      <c r="J335" s="176"/>
      <c r="K335" s="176"/>
      <c r="L335" s="176"/>
      <c r="M335" s="176"/>
    </row>
    <row r="336" spans="2:13" s="1" customFormat="1">
      <c r="B336" s="19"/>
      <c r="G336" s="176"/>
      <c r="H336" s="176"/>
      <c r="I336" s="176"/>
      <c r="J336" s="176"/>
      <c r="K336" s="176"/>
      <c r="L336" s="176"/>
      <c r="M336" s="176"/>
    </row>
    <row r="337" spans="2:13" s="1" customFormat="1">
      <c r="B337" s="19"/>
      <c r="G337" s="176"/>
      <c r="H337" s="176"/>
      <c r="I337" s="176"/>
      <c r="J337" s="176"/>
      <c r="K337" s="176"/>
      <c r="L337" s="176"/>
      <c r="M337" s="176"/>
    </row>
    <row r="338" spans="2:13" s="1" customFormat="1">
      <c r="B338" s="19"/>
      <c r="G338" s="176"/>
      <c r="H338" s="176"/>
      <c r="I338" s="176"/>
      <c r="J338" s="176"/>
      <c r="K338" s="176"/>
      <c r="L338" s="176"/>
      <c r="M338" s="176"/>
    </row>
    <row r="339" spans="2:13" s="1" customFormat="1">
      <c r="B339" s="19"/>
      <c r="G339" s="176"/>
      <c r="H339" s="176"/>
      <c r="I339" s="176"/>
      <c r="J339" s="176"/>
      <c r="K339" s="176"/>
      <c r="L339" s="176"/>
      <c r="M339" s="176"/>
    </row>
    <row r="340" spans="2:13" s="1" customFormat="1">
      <c r="B340" s="19"/>
      <c r="G340" s="176"/>
      <c r="H340" s="176"/>
      <c r="I340" s="176"/>
      <c r="J340" s="176"/>
      <c r="K340" s="176"/>
      <c r="L340" s="176"/>
      <c r="M340" s="176"/>
    </row>
    <row r="341" spans="2:13" s="1" customFormat="1">
      <c r="B341" s="19"/>
      <c r="G341" s="176"/>
      <c r="H341" s="176"/>
      <c r="I341" s="176"/>
      <c r="J341" s="176"/>
      <c r="K341" s="176"/>
      <c r="L341" s="176"/>
      <c r="M341" s="176"/>
    </row>
    <row r="342" spans="2:13" s="1" customFormat="1">
      <c r="B342" s="19"/>
      <c r="G342" s="176"/>
      <c r="H342" s="176"/>
      <c r="I342" s="176"/>
      <c r="J342" s="176"/>
      <c r="K342" s="176"/>
      <c r="L342" s="176"/>
      <c r="M342" s="176"/>
    </row>
    <row r="343" spans="2:13" s="1" customFormat="1">
      <c r="B343" s="19"/>
      <c r="G343" s="176"/>
      <c r="H343" s="176"/>
      <c r="I343" s="176"/>
      <c r="J343" s="176"/>
      <c r="K343" s="176"/>
      <c r="L343" s="176"/>
      <c r="M343" s="176"/>
    </row>
    <row r="344" spans="2:13" s="1" customFormat="1">
      <c r="B344" s="19"/>
      <c r="G344" s="176"/>
      <c r="H344" s="176"/>
      <c r="I344" s="176"/>
      <c r="J344" s="176"/>
      <c r="K344" s="176"/>
      <c r="L344" s="176"/>
      <c r="M344" s="176"/>
    </row>
    <row r="345" spans="2:13" s="1" customFormat="1">
      <c r="B345" s="19"/>
      <c r="G345" s="176"/>
      <c r="H345" s="176"/>
      <c r="I345" s="176"/>
      <c r="J345" s="176"/>
      <c r="K345" s="176"/>
      <c r="L345" s="176"/>
      <c r="M345" s="176"/>
    </row>
    <row r="346" spans="2:13" s="1" customFormat="1">
      <c r="B346" s="19"/>
      <c r="G346" s="176"/>
      <c r="H346" s="176"/>
      <c r="I346" s="176"/>
      <c r="J346" s="176"/>
      <c r="K346" s="176"/>
      <c r="L346" s="176"/>
      <c r="M346" s="176"/>
    </row>
    <row r="347" spans="2:13" s="1" customFormat="1">
      <c r="B347" s="19"/>
      <c r="G347" s="176"/>
      <c r="H347" s="176"/>
      <c r="I347" s="176"/>
      <c r="J347" s="176"/>
      <c r="K347" s="176"/>
      <c r="L347" s="176"/>
      <c r="M347" s="176"/>
    </row>
    <row r="348" spans="2:13" s="1" customFormat="1">
      <c r="B348" s="19"/>
      <c r="G348" s="176"/>
      <c r="H348" s="176"/>
      <c r="I348" s="176"/>
      <c r="J348" s="176"/>
      <c r="K348" s="176"/>
      <c r="L348" s="176"/>
      <c r="M348" s="176"/>
    </row>
    <row r="349" spans="2:13" s="1" customFormat="1">
      <c r="B349" s="19"/>
      <c r="G349" s="176"/>
      <c r="H349" s="176"/>
      <c r="I349" s="176"/>
      <c r="J349" s="176"/>
      <c r="K349" s="176"/>
      <c r="L349" s="176"/>
      <c r="M349" s="176"/>
    </row>
    <row r="350" spans="2:13" s="1" customFormat="1">
      <c r="B350" s="19"/>
      <c r="G350" s="176"/>
      <c r="H350" s="176"/>
      <c r="I350" s="176"/>
      <c r="J350" s="176"/>
      <c r="K350" s="176"/>
      <c r="L350" s="176"/>
      <c r="M350" s="176"/>
    </row>
    <row r="351" spans="2:13" s="1" customFormat="1">
      <c r="B351" s="19"/>
      <c r="G351" s="176"/>
      <c r="H351" s="176"/>
      <c r="I351" s="176"/>
      <c r="J351" s="176"/>
      <c r="K351" s="176"/>
      <c r="L351" s="176"/>
      <c r="M351" s="176"/>
    </row>
    <row r="352" spans="2:13" s="1" customFormat="1">
      <c r="B352" s="19"/>
      <c r="G352" s="176"/>
      <c r="H352" s="176"/>
      <c r="I352" s="176"/>
      <c r="J352" s="176"/>
      <c r="K352" s="176"/>
      <c r="L352" s="176"/>
      <c r="M352" s="176"/>
    </row>
    <row r="353" spans="2:13" s="1" customFormat="1">
      <c r="B353" s="19"/>
      <c r="G353" s="176"/>
      <c r="H353" s="176"/>
      <c r="I353" s="176"/>
      <c r="J353" s="176"/>
      <c r="K353" s="176"/>
      <c r="L353" s="176"/>
      <c r="M353" s="176"/>
    </row>
    <row r="354" spans="2:13" s="1" customFormat="1">
      <c r="B354" s="19"/>
      <c r="G354" s="176"/>
      <c r="H354" s="176"/>
      <c r="I354" s="176"/>
      <c r="J354" s="176"/>
      <c r="K354" s="176"/>
      <c r="L354" s="176"/>
      <c r="M354" s="176"/>
    </row>
    <row r="355" spans="2:13" s="1" customFormat="1">
      <c r="B355" s="19"/>
      <c r="G355" s="176"/>
      <c r="H355" s="176"/>
      <c r="I355" s="176"/>
      <c r="J355" s="176"/>
      <c r="K355" s="176"/>
      <c r="L355" s="176"/>
      <c r="M355" s="176"/>
    </row>
    <row r="356" spans="2:13" s="1" customFormat="1">
      <c r="B356" s="19"/>
      <c r="G356" s="176"/>
      <c r="H356" s="176"/>
      <c r="I356" s="176"/>
      <c r="J356" s="176"/>
      <c r="K356" s="176"/>
      <c r="L356" s="176"/>
      <c r="M356" s="176"/>
    </row>
    <row r="357" spans="2:13" s="1" customFormat="1">
      <c r="B357" s="19"/>
      <c r="G357" s="176"/>
      <c r="H357" s="176"/>
      <c r="I357" s="176"/>
      <c r="J357" s="176"/>
      <c r="K357" s="176"/>
      <c r="L357" s="176"/>
      <c r="M357" s="176"/>
    </row>
    <row r="358" spans="2:13" s="1" customFormat="1">
      <c r="B358" s="19"/>
      <c r="G358" s="176"/>
      <c r="H358" s="176"/>
      <c r="I358" s="176"/>
      <c r="J358" s="176"/>
      <c r="K358" s="176"/>
      <c r="L358" s="176"/>
      <c r="M358" s="176"/>
    </row>
    <row r="359" spans="2:13" s="1" customFormat="1">
      <c r="B359" s="19"/>
      <c r="G359" s="176"/>
      <c r="H359" s="176"/>
      <c r="I359" s="176"/>
      <c r="J359" s="176"/>
      <c r="K359" s="176"/>
      <c r="L359" s="176"/>
      <c r="M359" s="176"/>
    </row>
    <row r="360" spans="2:13" s="1" customFormat="1">
      <c r="B360" s="19"/>
      <c r="G360" s="176"/>
      <c r="H360" s="176"/>
      <c r="I360" s="176"/>
      <c r="J360" s="176"/>
      <c r="K360" s="176"/>
      <c r="L360" s="176"/>
      <c r="M360" s="176"/>
    </row>
    <row r="361" spans="2:13" s="1" customFormat="1">
      <c r="B361" s="19"/>
      <c r="G361" s="176"/>
      <c r="H361" s="176"/>
      <c r="I361" s="176"/>
      <c r="J361" s="176"/>
      <c r="K361" s="176"/>
      <c r="L361" s="176"/>
      <c r="M361" s="176"/>
    </row>
    <row r="362" spans="2:13" s="1" customFormat="1">
      <c r="B362" s="19"/>
      <c r="G362" s="176"/>
      <c r="H362" s="176"/>
      <c r="I362" s="176"/>
      <c r="J362" s="176"/>
      <c r="K362" s="176"/>
      <c r="L362" s="176"/>
      <c r="M362" s="176"/>
    </row>
    <row r="363" spans="2:13" s="1" customFormat="1">
      <c r="B363" s="19"/>
      <c r="G363" s="176"/>
      <c r="H363" s="176"/>
      <c r="I363" s="176"/>
      <c r="J363" s="176"/>
      <c r="K363" s="176"/>
      <c r="L363" s="176"/>
      <c r="M363" s="176"/>
    </row>
    <row r="364" spans="2:13" s="1" customFormat="1">
      <c r="B364" s="19"/>
      <c r="G364" s="176"/>
      <c r="H364" s="176"/>
      <c r="I364" s="176"/>
      <c r="J364" s="176"/>
      <c r="K364" s="176"/>
      <c r="L364" s="176"/>
      <c r="M364" s="176"/>
    </row>
    <row r="365" spans="2:13" s="1" customFormat="1">
      <c r="B365" s="19"/>
      <c r="G365" s="176"/>
      <c r="H365" s="176"/>
      <c r="I365" s="176"/>
      <c r="J365" s="176"/>
      <c r="K365" s="176"/>
      <c r="L365" s="176"/>
      <c r="M365" s="176"/>
    </row>
    <row r="366" spans="2:13" s="1" customFormat="1">
      <c r="B366" s="19"/>
      <c r="G366" s="176"/>
      <c r="H366" s="176"/>
      <c r="I366" s="176"/>
      <c r="J366" s="176"/>
      <c r="K366" s="176"/>
      <c r="L366" s="176"/>
      <c r="M366" s="176"/>
    </row>
    <row r="367" spans="2:13" s="1" customFormat="1">
      <c r="B367" s="19"/>
      <c r="G367" s="176"/>
      <c r="H367" s="176"/>
      <c r="I367" s="176"/>
      <c r="J367" s="176"/>
      <c r="K367" s="176"/>
      <c r="L367" s="176"/>
      <c r="M367" s="176"/>
    </row>
    <row r="368" spans="2:13" s="1" customFormat="1">
      <c r="B368" s="19"/>
      <c r="G368" s="176"/>
      <c r="H368" s="176"/>
      <c r="I368" s="176"/>
      <c r="J368" s="176"/>
      <c r="K368" s="176"/>
      <c r="L368" s="176"/>
      <c r="M368" s="176"/>
    </row>
    <row r="369" spans="2:13" s="1" customFormat="1">
      <c r="B369" s="19"/>
      <c r="G369" s="176"/>
      <c r="H369" s="176"/>
      <c r="I369" s="176"/>
      <c r="J369" s="176"/>
      <c r="K369" s="176"/>
      <c r="L369" s="176"/>
      <c r="M369" s="176"/>
    </row>
    <row r="370" spans="2:13" s="1" customFormat="1">
      <c r="B370" s="19"/>
      <c r="G370" s="176"/>
      <c r="H370" s="176"/>
      <c r="I370" s="176"/>
      <c r="J370" s="176"/>
      <c r="K370" s="176"/>
      <c r="L370" s="176"/>
      <c r="M370" s="176"/>
    </row>
    <row r="371" spans="2:13" s="1" customFormat="1">
      <c r="B371" s="19"/>
      <c r="G371" s="176"/>
      <c r="H371" s="176"/>
      <c r="I371" s="176"/>
      <c r="J371" s="176"/>
      <c r="K371" s="176"/>
      <c r="L371" s="176"/>
      <c r="M371" s="176"/>
    </row>
    <row r="372" spans="2:13" s="1" customFormat="1">
      <c r="B372" s="19"/>
      <c r="G372" s="176"/>
      <c r="H372" s="176"/>
      <c r="I372" s="176"/>
      <c r="J372" s="176"/>
      <c r="K372" s="176"/>
      <c r="L372" s="176"/>
      <c r="M372" s="176"/>
    </row>
    <row r="373" spans="2:13" s="1" customFormat="1">
      <c r="B373" s="19"/>
      <c r="G373" s="176"/>
      <c r="H373" s="176"/>
      <c r="I373" s="176"/>
      <c r="J373" s="176"/>
      <c r="K373" s="176"/>
      <c r="L373" s="176"/>
      <c r="M373" s="176"/>
    </row>
    <row r="374" spans="2:13" s="1" customFormat="1">
      <c r="B374" s="19"/>
      <c r="G374" s="176"/>
      <c r="H374" s="176"/>
      <c r="I374" s="176"/>
      <c r="J374" s="176"/>
      <c r="K374" s="176"/>
      <c r="L374" s="176"/>
      <c r="M374" s="176"/>
    </row>
    <row r="375" spans="2:13" s="1" customFormat="1">
      <c r="B375" s="19"/>
      <c r="G375" s="176"/>
      <c r="H375" s="176"/>
      <c r="I375" s="176"/>
      <c r="J375" s="176"/>
      <c r="K375" s="176"/>
      <c r="L375" s="176"/>
      <c r="M375" s="176"/>
    </row>
    <row r="376" spans="2:13" s="1" customFormat="1">
      <c r="B376" s="19"/>
      <c r="G376" s="176"/>
      <c r="H376" s="176"/>
      <c r="I376" s="176"/>
      <c r="J376" s="176"/>
      <c r="K376" s="176"/>
      <c r="L376" s="176"/>
      <c r="M376" s="176"/>
    </row>
    <row r="377" spans="2:13" s="1" customFormat="1">
      <c r="B377" s="19"/>
      <c r="G377" s="176"/>
      <c r="H377" s="176"/>
      <c r="I377" s="176"/>
      <c r="J377" s="176"/>
      <c r="K377" s="176"/>
      <c r="L377" s="176"/>
      <c r="M377" s="176"/>
    </row>
    <row r="378" spans="2:13" s="1" customFormat="1">
      <c r="B378" s="19"/>
      <c r="G378" s="176"/>
      <c r="H378" s="176"/>
      <c r="I378" s="176"/>
      <c r="J378" s="176"/>
      <c r="K378" s="176"/>
      <c r="L378" s="176"/>
      <c r="M378" s="176"/>
    </row>
    <row r="379" spans="2:13" s="1" customFormat="1">
      <c r="B379" s="19"/>
      <c r="G379" s="176"/>
      <c r="H379" s="176"/>
      <c r="I379" s="176"/>
      <c r="J379" s="176"/>
      <c r="K379" s="176"/>
      <c r="L379" s="176"/>
      <c r="M379" s="176"/>
    </row>
    <row r="380" spans="2:13" s="1" customFormat="1">
      <c r="B380" s="19"/>
      <c r="G380" s="176"/>
      <c r="H380" s="176"/>
      <c r="I380" s="176"/>
      <c r="J380" s="176"/>
      <c r="K380" s="176"/>
      <c r="L380" s="176"/>
      <c r="M380" s="176"/>
    </row>
    <row r="381" spans="2:13" s="1" customFormat="1">
      <c r="B381" s="19"/>
      <c r="G381" s="176"/>
      <c r="H381" s="176"/>
      <c r="I381" s="176"/>
      <c r="J381" s="176"/>
      <c r="K381" s="176"/>
      <c r="L381" s="176"/>
      <c r="M381" s="176"/>
    </row>
    <row r="382" spans="2:13" s="1" customFormat="1">
      <c r="B382" s="19"/>
      <c r="G382" s="176"/>
      <c r="H382" s="176"/>
      <c r="I382" s="176"/>
      <c r="J382" s="176"/>
      <c r="K382" s="176"/>
      <c r="L382" s="176"/>
      <c r="M382" s="176"/>
    </row>
    <row r="383" spans="2:13" s="1" customFormat="1">
      <c r="B383" s="19"/>
      <c r="G383" s="176"/>
      <c r="H383" s="176"/>
      <c r="I383" s="176"/>
      <c r="J383" s="176"/>
      <c r="K383" s="176"/>
      <c r="L383" s="176"/>
      <c r="M383" s="176"/>
    </row>
    <row r="384" spans="2:13" s="1" customFormat="1">
      <c r="B384" s="19"/>
      <c r="G384" s="176"/>
      <c r="H384" s="176"/>
      <c r="I384" s="176"/>
      <c r="J384" s="176"/>
      <c r="K384" s="176"/>
      <c r="L384" s="176"/>
      <c r="M384" s="176"/>
    </row>
    <row r="385" spans="2:13" s="1" customFormat="1">
      <c r="B385" s="19"/>
      <c r="G385" s="176"/>
      <c r="H385" s="176"/>
      <c r="I385" s="176"/>
      <c r="J385" s="176"/>
      <c r="K385" s="176"/>
      <c r="L385" s="176"/>
      <c r="M385" s="176"/>
    </row>
    <row r="386" spans="2:13" s="1" customFormat="1">
      <c r="B386" s="19"/>
      <c r="G386" s="176"/>
      <c r="H386" s="176"/>
      <c r="I386" s="176"/>
      <c r="J386" s="176"/>
      <c r="K386" s="176"/>
      <c r="L386" s="176"/>
      <c r="M386" s="176"/>
    </row>
    <row r="387" spans="2:13" s="1" customFormat="1">
      <c r="B387" s="19"/>
      <c r="G387" s="176"/>
      <c r="H387" s="176"/>
      <c r="I387" s="176"/>
      <c r="J387" s="176"/>
      <c r="K387" s="176"/>
      <c r="L387" s="176"/>
      <c r="M387" s="176"/>
    </row>
    <row r="388" spans="2:13" s="1" customFormat="1">
      <c r="B388" s="19"/>
      <c r="G388" s="176"/>
      <c r="H388" s="176"/>
      <c r="I388" s="176"/>
      <c r="J388" s="176"/>
      <c r="K388" s="176"/>
      <c r="L388" s="176"/>
      <c r="M388" s="176"/>
    </row>
    <row r="389" spans="2:13" s="1" customFormat="1">
      <c r="B389" s="19"/>
      <c r="G389" s="176"/>
      <c r="H389" s="176"/>
      <c r="I389" s="176"/>
      <c r="J389" s="176"/>
      <c r="K389" s="176"/>
      <c r="L389" s="176"/>
      <c r="M389" s="176"/>
    </row>
    <row r="390" spans="2:13" s="1" customFormat="1">
      <c r="B390" s="19"/>
      <c r="G390" s="176"/>
      <c r="H390" s="176"/>
      <c r="I390" s="176"/>
      <c r="J390" s="176"/>
      <c r="K390" s="176"/>
      <c r="L390" s="176"/>
      <c r="M390" s="176"/>
    </row>
    <row r="391" spans="2:13" s="1" customFormat="1">
      <c r="B391" s="19"/>
      <c r="G391" s="176"/>
      <c r="H391" s="176"/>
      <c r="I391" s="176"/>
      <c r="J391" s="176"/>
      <c r="K391" s="176"/>
      <c r="L391" s="176"/>
      <c r="M391" s="176"/>
    </row>
    <row r="392" spans="2:13" s="1" customFormat="1">
      <c r="B392" s="19"/>
      <c r="G392" s="176"/>
      <c r="H392" s="176"/>
      <c r="I392" s="176"/>
      <c r="J392" s="176"/>
      <c r="K392" s="176"/>
      <c r="L392" s="176"/>
      <c r="M392" s="176"/>
    </row>
    <row r="393" spans="2:13" s="1" customFormat="1">
      <c r="B393" s="19"/>
      <c r="G393" s="176"/>
      <c r="H393" s="176"/>
      <c r="I393" s="176"/>
      <c r="J393" s="176"/>
      <c r="K393" s="176"/>
      <c r="L393" s="176"/>
      <c r="M393" s="176"/>
    </row>
    <row r="394" spans="2:13" s="1" customFormat="1">
      <c r="B394" s="19"/>
      <c r="G394" s="176"/>
      <c r="H394" s="176"/>
      <c r="I394" s="176"/>
      <c r="J394" s="176"/>
      <c r="K394" s="176"/>
      <c r="L394" s="176"/>
      <c r="M394" s="176"/>
    </row>
    <row r="395" spans="2:13" s="1" customFormat="1">
      <c r="B395" s="19"/>
      <c r="G395" s="176"/>
      <c r="H395" s="176"/>
      <c r="I395" s="176"/>
      <c r="J395" s="176"/>
      <c r="K395" s="176"/>
      <c r="L395" s="176"/>
      <c r="M395" s="176"/>
    </row>
    <row r="396" spans="2:13" s="1" customFormat="1">
      <c r="B396" s="19"/>
      <c r="G396" s="176"/>
      <c r="H396" s="176"/>
      <c r="I396" s="176"/>
      <c r="J396" s="176"/>
      <c r="K396" s="176"/>
      <c r="L396" s="176"/>
      <c r="M396" s="176"/>
    </row>
    <row r="397" spans="2:13" s="1" customFormat="1">
      <c r="B397" s="19"/>
      <c r="G397" s="176"/>
      <c r="H397" s="176"/>
      <c r="I397" s="176"/>
      <c r="J397" s="176"/>
      <c r="K397" s="176"/>
      <c r="L397" s="176"/>
      <c r="M397" s="176"/>
    </row>
    <row r="398" spans="2:13" s="1" customFormat="1">
      <c r="B398" s="19"/>
      <c r="G398" s="176"/>
      <c r="H398" s="176"/>
      <c r="I398" s="176"/>
      <c r="J398" s="176"/>
      <c r="K398" s="176"/>
      <c r="L398" s="176"/>
      <c r="M398" s="176"/>
    </row>
    <row r="399" spans="2:13" s="1" customFormat="1">
      <c r="B399" s="19"/>
      <c r="G399" s="176"/>
      <c r="H399" s="176"/>
      <c r="I399" s="176"/>
      <c r="J399" s="176"/>
      <c r="K399" s="176"/>
      <c r="L399" s="176"/>
      <c r="M399" s="176"/>
    </row>
    <row r="400" spans="2:13" s="1" customFormat="1">
      <c r="B400" s="19"/>
      <c r="G400" s="176"/>
      <c r="H400" s="176"/>
      <c r="I400" s="176"/>
      <c r="J400" s="176"/>
      <c r="K400" s="176"/>
      <c r="L400" s="176"/>
      <c r="M400" s="176"/>
    </row>
    <row r="401" spans="2:13" s="1" customFormat="1">
      <c r="B401" s="19"/>
      <c r="G401" s="176"/>
      <c r="H401" s="176"/>
      <c r="I401" s="176"/>
      <c r="J401" s="176"/>
      <c r="K401" s="176"/>
      <c r="L401" s="176"/>
      <c r="M401" s="176"/>
    </row>
    <row r="402" spans="2:13" s="1" customFormat="1">
      <c r="B402" s="19"/>
      <c r="G402" s="176"/>
      <c r="H402" s="176"/>
      <c r="I402" s="176"/>
      <c r="J402" s="176"/>
      <c r="K402" s="176"/>
      <c r="L402" s="176"/>
      <c r="M402" s="176"/>
    </row>
    <row r="403" spans="2:13" s="1" customFormat="1">
      <c r="B403" s="19"/>
      <c r="G403" s="176"/>
      <c r="H403" s="176"/>
      <c r="I403" s="176"/>
      <c r="J403" s="176"/>
      <c r="K403" s="176"/>
      <c r="L403" s="176"/>
      <c r="M403" s="176"/>
    </row>
    <row r="404" spans="2:13" s="1" customFormat="1">
      <c r="B404" s="19"/>
      <c r="G404" s="176"/>
      <c r="H404" s="176"/>
      <c r="I404" s="176"/>
      <c r="J404" s="176"/>
      <c r="K404" s="176"/>
      <c r="L404" s="176"/>
      <c r="M404" s="176"/>
    </row>
    <row r="405" spans="2:13" s="1" customFormat="1">
      <c r="B405" s="19"/>
      <c r="G405" s="176"/>
      <c r="H405" s="176"/>
      <c r="I405" s="176"/>
      <c r="J405" s="176"/>
      <c r="K405" s="176"/>
      <c r="L405" s="176"/>
      <c r="M405" s="176"/>
    </row>
    <row r="406" spans="2:13" s="1" customFormat="1">
      <c r="B406" s="19"/>
      <c r="G406" s="176"/>
      <c r="H406" s="176"/>
      <c r="I406" s="176"/>
      <c r="J406" s="176"/>
      <c r="K406" s="176"/>
      <c r="L406" s="176"/>
      <c r="M406" s="176"/>
    </row>
    <row r="407" spans="2:13" s="1" customFormat="1">
      <c r="B407" s="19"/>
      <c r="G407" s="176"/>
      <c r="H407" s="176"/>
      <c r="I407" s="176"/>
      <c r="J407" s="176"/>
      <c r="K407" s="176"/>
      <c r="L407" s="176"/>
      <c r="M407" s="176"/>
    </row>
    <row r="408" spans="2:13" s="1" customFormat="1">
      <c r="B408" s="19"/>
      <c r="G408" s="176"/>
      <c r="H408" s="176"/>
      <c r="I408" s="176"/>
      <c r="J408" s="176"/>
      <c r="K408" s="176"/>
      <c r="L408" s="176"/>
      <c r="M408" s="176"/>
    </row>
    <row r="409" spans="2:13" s="1" customFormat="1">
      <c r="B409" s="19"/>
      <c r="G409" s="176"/>
      <c r="H409" s="176"/>
      <c r="I409" s="176"/>
      <c r="J409" s="176"/>
      <c r="K409" s="176"/>
      <c r="L409" s="176"/>
      <c r="M409" s="176"/>
    </row>
    <row r="410" spans="2:13" s="1" customFormat="1">
      <c r="B410" s="19"/>
      <c r="G410" s="176"/>
      <c r="H410" s="176"/>
      <c r="I410" s="176"/>
      <c r="J410" s="176"/>
      <c r="K410" s="176"/>
      <c r="L410" s="176"/>
      <c r="M410" s="176"/>
    </row>
    <row r="411" spans="2:13" s="1" customFormat="1">
      <c r="B411" s="19"/>
      <c r="G411" s="176"/>
      <c r="H411" s="176"/>
      <c r="I411" s="176"/>
      <c r="J411" s="176"/>
      <c r="K411" s="176"/>
      <c r="L411" s="176"/>
      <c r="M411" s="176"/>
    </row>
    <row r="412" spans="2:13" s="1" customFormat="1">
      <c r="B412" s="19"/>
      <c r="G412" s="176"/>
      <c r="H412" s="176"/>
      <c r="I412" s="176"/>
      <c r="J412" s="176"/>
      <c r="K412" s="176"/>
      <c r="L412" s="176"/>
      <c r="M412" s="176"/>
    </row>
    <row r="413" spans="2:13" s="1" customFormat="1">
      <c r="B413" s="19"/>
      <c r="G413" s="176"/>
      <c r="H413" s="176"/>
      <c r="I413" s="176"/>
      <c r="J413" s="176"/>
      <c r="K413" s="176"/>
      <c r="L413" s="176"/>
      <c r="M413" s="176"/>
    </row>
    <row r="414" spans="2:13" s="1" customFormat="1">
      <c r="B414" s="19"/>
      <c r="G414" s="176"/>
      <c r="H414" s="176"/>
      <c r="I414" s="176"/>
      <c r="J414" s="176"/>
      <c r="K414" s="176"/>
      <c r="L414" s="176"/>
      <c r="M414" s="176"/>
    </row>
    <row r="415" spans="2:13" s="1" customFormat="1">
      <c r="B415" s="19"/>
      <c r="G415" s="176"/>
      <c r="H415" s="176"/>
      <c r="I415" s="176"/>
      <c r="J415" s="176"/>
      <c r="K415" s="176"/>
      <c r="L415" s="176"/>
      <c r="M415" s="176"/>
    </row>
    <row r="416" spans="2:13" s="1" customFormat="1">
      <c r="B416" s="19"/>
      <c r="G416" s="176"/>
      <c r="H416" s="176"/>
      <c r="I416" s="176"/>
      <c r="J416" s="176"/>
      <c r="K416" s="176"/>
      <c r="L416" s="176"/>
      <c r="M416" s="176"/>
    </row>
    <row r="417" spans="2:13" s="1" customFormat="1">
      <c r="B417" s="19"/>
      <c r="G417" s="176"/>
      <c r="H417" s="176"/>
      <c r="I417" s="176"/>
      <c r="J417" s="176"/>
      <c r="K417" s="176"/>
      <c r="L417" s="176"/>
      <c r="M417" s="176"/>
    </row>
    <row r="418" spans="2:13" s="1" customFormat="1">
      <c r="B418" s="19"/>
      <c r="G418" s="176"/>
      <c r="H418" s="176"/>
      <c r="I418" s="176"/>
      <c r="J418" s="176"/>
      <c r="K418" s="176"/>
      <c r="L418" s="176"/>
      <c r="M418" s="176"/>
    </row>
    <row r="419" spans="2:13" s="1" customFormat="1">
      <c r="B419" s="19"/>
      <c r="G419" s="176"/>
      <c r="H419" s="176"/>
      <c r="I419" s="176"/>
      <c r="J419" s="176"/>
      <c r="K419" s="176"/>
      <c r="L419" s="176"/>
      <c r="M419" s="176"/>
    </row>
    <row r="420" spans="2:13" s="1" customFormat="1">
      <c r="B420" s="19"/>
      <c r="G420" s="176"/>
      <c r="H420" s="176"/>
      <c r="I420" s="176"/>
      <c r="J420" s="176"/>
      <c r="K420" s="176"/>
      <c r="L420" s="176"/>
      <c r="M420" s="176"/>
    </row>
    <row r="421" spans="2:13" s="1" customFormat="1">
      <c r="B421" s="19"/>
      <c r="G421" s="176"/>
      <c r="H421" s="176"/>
      <c r="I421" s="176"/>
      <c r="J421" s="176"/>
      <c r="K421" s="176"/>
      <c r="L421" s="176"/>
      <c r="M421" s="176"/>
    </row>
    <row r="422" spans="2:13" s="1" customFormat="1">
      <c r="B422" s="19"/>
      <c r="G422" s="176"/>
      <c r="H422" s="176"/>
      <c r="I422" s="176"/>
      <c r="J422" s="176"/>
      <c r="K422" s="176"/>
      <c r="L422" s="176"/>
      <c r="M422" s="176"/>
    </row>
    <row r="423" spans="2:13" s="1" customFormat="1">
      <c r="B423" s="19"/>
      <c r="G423" s="176"/>
      <c r="H423" s="176"/>
      <c r="I423" s="176"/>
      <c r="J423" s="176"/>
      <c r="K423" s="176"/>
      <c r="L423" s="176"/>
      <c r="M423" s="176"/>
    </row>
    <row r="424" spans="2:13" s="1" customFormat="1">
      <c r="B424" s="19"/>
      <c r="G424" s="176"/>
      <c r="H424" s="176"/>
      <c r="I424" s="176"/>
      <c r="J424" s="176"/>
      <c r="K424" s="176"/>
      <c r="L424" s="176"/>
      <c r="M424" s="176"/>
    </row>
    <row r="425" spans="2:13" s="1" customFormat="1">
      <c r="B425" s="19"/>
      <c r="G425" s="176"/>
      <c r="H425" s="176"/>
      <c r="I425" s="176"/>
      <c r="J425" s="176"/>
      <c r="K425" s="176"/>
      <c r="L425" s="176"/>
      <c r="M425" s="176"/>
    </row>
    <row r="426" spans="2:13" s="1" customFormat="1">
      <c r="B426" s="19"/>
      <c r="G426" s="176"/>
      <c r="H426" s="176"/>
      <c r="I426" s="176"/>
      <c r="J426" s="176"/>
      <c r="K426" s="176"/>
      <c r="L426" s="176"/>
      <c r="M426" s="176"/>
    </row>
    <row r="427" spans="2:13" s="1" customFormat="1">
      <c r="B427" s="19"/>
      <c r="G427" s="176"/>
      <c r="H427" s="176"/>
      <c r="I427" s="176"/>
      <c r="J427" s="176"/>
      <c r="K427" s="176"/>
      <c r="L427" s="176"/>
      <c r="M427" s="176"/>
    </row>
    <row r="428" spans="2:13" s="1" customFormat="1">
      <c r="B428" s="19"/>
      <c r="G428" s="176"/>
      <c r="H428" s="176"/>
      <c r="I428" s="176"/>
      <c r="J428" s="176"/>
      <c r="K428" s="176"/>
      <c r="L428" s="176"/>
      <c r="M428" s="176"/>
    </row>
    <row r="429" spans="2:13" s="1" customFormat="1">
      <c r="B429" s="19"/>
      <c r="G429" s="176"/>
      <c r="H429" s="176"/>
      <c r="I429" s="176"/>
      <c r="J429" s="176"/>
      <c r="K429" s="176"/>
      <c r="L429" s="176"/>
      <c r="M429" s="176"/>
    </row>
    <row r="430" spans="2:13" s="1" customFormat="1">
      <c r="B430" s="19"/>
      <c r="G430" s="176"/>
      <c r="H430" s="176"/>
      <c r="I430" s="176"/>
      <c r="J430" s="176"/>
      <c r="K430" s="176"/>
      <c r="L430" s="176"/>
      <c r="M430" s="176"/>
    </row>
    <row r="431" spans="2:13" s="1" customFormat="1">
      <c r="B431" s="19"/>
      <c r="G431" s="176"/>
      <c r="H431" s="176"/>
      <c r="I431" s="176"/>
      <c r="J431" s="176"/>
      <c r="K431" s="176"/>
      <c r="L431" s="176"/>
      <c r="M431" s="176"/>
    </row>
    <row r="432" spans="2:13" s="1" customFormat="1">
      <c r="B432" s="19"/>
      <c r="G432" s="176"/>
      <c r="H432" s="176"/>
      <c r="I432" s="176"/>
      <c r="J432" s="176"/>
      <c r="K432" s="176"/>
      <c r="L432" s="176"/>
      <c r="M432" s="176"/>
    </row>
    <row r="433" spans="2:13" s="1" customFormat="1">
      <c r="B433" s="19"/>
      <c r="G433" s="176"/>
      <c r="H433" s="176"/>
      <c r="I433" s="176"/>
      <c r="J433" s="176"/>
      <c r="K433" s="176"/>
      <c r="L433" s="176"/>
      <c r="M433" s="176"/>
    </row>
    <row r="434" spans="2:13" s="1" customFormat="1">
      <c r="B434" s="19"/>
      <c r="G434" s="176"/>
      <c r="H434" s="176"/>
      <c r="I434" s="176"/>
      <c r="J434" s="176"/>
      <c r="K434" s="176"/>
      <c r="L434" s="176"/>
      <c r="M434" s="176"/>
    </row>
    <row r="435" spans="2:13" s="1" customFormat="1">
      <c r="B435" s="19"/>
      <c r="G435" s="176"/>
      <c r="H435" s="176"/>
      <c r="I435" s="176"/>
      <c r="J435" s="176"/>
      <c r="K435" s="176"/>
      <c r="L435" s="176"/>
      <c r="M435" s="176"/>
    </row>
    <row r="436" spans="2:13" s="1" customFormat="1">
      <c r="B436" s="19"/>
      <c r="G436" s="176"/>
      <c r="H436" s="176"/>
      <c r="I436" s="176"/>
      <c r="J436" s="176"/>
      <c r="K436" s="176"/>
      <c r="L436" s="176"/>
      <c r="M436" s="176"/>
    </row>
    <row r="437" spans="2:13" s="1" customFormat="1">
      <c r="B437" s="19"/>
      <c r="G437" s="176"/>
      <c r="H437" s="176"/>
      <c r="I437" s="176"/>
      <c r="J437" s="176"/>
      <c r="K437" s="176"/>
      <c r="L437" s="176"/>
      <c r="M437" s="176"/>
    </row>
    <row r="438" spans="2:13" s="1" customFormat="1">
      <c r="B438" s="19"/>
      <c r="G438" s="176"/>
      <c r="H438" s="176"/>
      <c r="I438" s="176"/>
      <c r="J438" s="176"/>
      <c r="K438" s="176"/>
      <c r="L438" s="176"/>
      <c r="M438" s="176"/>
    </row>
    <row r="439" spans="2:13" s="1" customFormat="1">
      <c r="B439" s="19"/>
      <c r="G439" s="176"/>
      <c r="H439" s="176"/>
      <c r="I439" s="176"/>
      <c r="J439" s="176"/>
      <c r="K439" s="176"/>
      <c r="L439" s="176"/>
      <c r="M439" s="176"/>
    </row>
    <row r="440" spans="2:13" s="1" customFormat="1">
      <c r="B440" s="19"/>
      <c r="G440" s="176"/>
      <c r="H440" s="176"/>
      <c r="I440" s="176"/>
      <c r="J440" s="176"/>
      <c r="K440" s="176"/>
      <c r="L440" s="176"/>
      <c r="M440" s="176"/>
    </row>
    <row r="441" spans="2:13" s="1" customFormat="1">
      <c r="B441" s="19"/>
      <c r="G441" s="176"/>
      <c r="H441" s="176"/>
      <c r="I441" s="176"/>
      <c r="J441" s="176"/>
      <c r="K441" s="176"/>
      <c r="L441" s="176"/>
      <c r="M441" s="176"/>
    </row>
    <row r="442" spans="2:13" s="1" customFormat="1">
      <c r="B442" s="19"/>
      <c r="G442" s="176"/>
      <c r="H442" s="176"/>
      <c r="I442" s="176"/>
      <c r="J442" s="176"/>
      <c r="K442" s="176"/>
      <c r="L442" s="176"/>
      <c r="M442" s="176"/>
    </row>
    <row r="443" spans="2:13" s="1" customFormat="1">
      <c r="B443" s="19"/>
      <c r="G443" s="176"/>
      <c r="H443" s="176"/>
      <c r="I443" s="176"/>
      <c r="J443" s="176"/>
      <c r="K443" s="176"/>
      <c r="L443" s="176"/>
      <c r="M443" s="176"/>
    </row>
    <row r="444" spans="2:13" s="1" customFormat="1">
      <c r="B444" s="19"/>
      <c r="G444" s="176"/>
      <c r="H444" s="176"/>
      <c r="I444" s="176"/>
      <c r="J444" s="176"/>
      <c r="K444" s="176"/>
      <c r="L444" s="176"/>
      <c r="M444" s="176"/>
    </row>
    <row r="445" spans="2:13" s="1" customFormat="1">
      <c r="B445" s="19"/>
      <c r="G445" s="176"/>
      <c r="H445" s="176"/>
      <c r="I445" s="176"/>
      <c r="J445" s="176"/>
      <c r="K445" s="176"/>
      <c r="L445" s="176"/>
      <c r="M445" s="176"/>
    </row>
    <row r="446" spans="2:13" s="1" customFormat="1">
      <c r="B446" s="19"/>
      <c r="G446" s="176"/>
      <c r="H446" s="176"/>
      <c r="I446" s="176"/>
      <c r="J446" s="176"/>
      <c r="K446" s="176"/>
      <c r="L446" s="176"/>
      <c r="M446" s="176"/>
    </row>
    <row r="447" spans="2:13" s="1" customFormat="1">
      <c r="B447" s="19"/>
      <c r="G447" s="176"/>
      <c r="H447" s="176"/>
      <c r="I447" s="176"/>
      <c r="J447" s="176"/>
      <c r="K447" s="176"/>
      <c r="L447" s="176"/>
      <c r="M447" s="176"/>
    </row>
    <row r="448" spans="2:13" s="1" customFormat="1">
      <c r="B448" s="19"/>
      <c r="G448" s="176"/>
      <c r="H448" s="176"/>
      <c r="I448" s="176"/>
      <c r="J448" s="176"/>
      <c r="K448" s="176"/>
      <c r="L448" s="176"/>
      <c r="M448" s="176"/>
    </row>
    <row r="449" spans="2:13" s="1" customFormat="1">
      <c r="B449" s="19"/>
      <c r="G449" s="176"/>
      <c r="H449" s="176"/>
      <c r="I449" s="176"/>
      <c r="J449" s="176"/>
      <c r="K449" s="176"/>
      <c r="L449" s="176"/>
      <c r="M449" s="176"/>
    </row>
    <row r="450" spans="2:13" s="1" customFormat="1">
      <c r="B450" s="19"/>
      <c r="G450" s="176"/>
      <c r="H450" s="176"/>
      <c r="I450" s="176"/>
      <c r="J450" s="176"/>
      <c r="K450" s="176"/>
      <c r="L450" s="176"/>
      <c r="M450" s="176"/>
    </row>
    <row r="451" spans="2:13" s="1" customFormat="1">
      <c r="B451" s="19"/>
      <c r="G451" s="176"/>
      <c r="H451" s="176"/>
      <c r="I451" s="176"/>
      <c r="J451" s="176"/>
      <c r="K451" s="176"/>
      <c r="L451" s="176"/>
      <c r="M451" s="176"/>
    </row>
    <row r="452" spans="2:13" s="1" customFormat="1">
      <c r="B452" s="19"/>
      <c r="G452" s="176"/>
      <c r="H452" s="176"/>
      <c r="I452" s="176"/>
      <c r="J452" s="176"/>
      <c r="K452" s="176"/>
      <c r="L452" s="176"/>
      <c r="M452" s="176"/>
    </row>
    <row r="453" spans="2:13" s="1" customFormat="1">
      <c r="B453" s="19"/>
      <c r="G453" s="176"/>
      <c r="H453" s="176"/>
      <c r="I453" s="176"/>
      <c r="J453" s="176"/>
      <c r="K453" s="176"/>
      <c r="L453" s="176"/>
      <c r="M453" s="176"/>
    </row>
    <row r="454" spans="2:13" s="1" customFormat="1">
      <c r="B454" s="19"/>
      <c r="G454" s="176"/>
      <c r="H454" s="176"/>
      <c r="I454" s="176"/>
      <c r="J454" s="176"/>
      <c r="K454" s="176"/>
      <c r="L454" s="176"/>
      <c r="M454" s="176"/>
    </row>
    <row r="455" spans="2:13" s="1" customFormat="1">
      <c r="B455" s="19"/>
      <c r="G455" s="176"/>
      <c r="H455" s="176"/>
      <c r="I455" s="176"/>
      <c r="J455" s="176"/>
      <c r="K455" s="176"/>
      <c r="L455" s="176"/>
      <c r="M455" s="176"/>
    </row>
    <row r="456" spans="2:13" s="1" customFormat="1">
      <c r="B456" s="19"/>
      <c r="G456" s="176"/>
      <c r="H456" s="176"/>
      <c r="I456" s="176"/>
      <c r="J456" s="176"/>
      <c r="K456" s="176"/>
      <c r="L456" s="176"/>
      <c r="M456" s="176"/>
    </row>
    <row r="457" spans="2:13" s="1" customFormat="1">
      <c r="B457" s="19"/>
      <c r="G457" s="176"/>
      <c r="H457" s="176"/>
      <c r="I457" s="176"/>
      <c r="J457" s="176"/>
      <c r="K457" s="176"/>
      <c r="L457" s="176"/>
      <c r="M457" s="176"/>
    </row>
    <row r="458" spans="2:13" s="1" customFormat="1">
      <c r="B458" s="19"/>
      <c r="G458" s="176"/>
      <c r="H458" s="176"/>
      <c r="I458" s="176"/>
      <c r="J458" s="176"/>
      <c r="K458" s="176"/>
      <c r="L458" s="176"/>
      <c r="M458" s="176"/>
    </row>
    <row r="459" spans="2:13" s="1" customFormat="1">
      <c r="B459" s="19"/>
      <c r="G459" s="176"/>
      <c r="H459" s="176"/>
      <c r="I459" s="176"/>
      <c r="J459" s="176"/>
      <c r="K459" s="176"/>
      <c r="L459" s="176"/>
      <c r="M459" s="176"/>
    </row>
    <row r="460" spans="2:13" s="1" customFormat="1">
      <c r="B460" s="19"/>
      <c r="G460" s="176"/>
      <c r="H460" s="176"/>
      <c r="I460" s="176"/>
      <c r="J460" s="176"/>
      <c r="K460" s="176"/>
      <c r="L460" s="176"/>
      <c r="M460" s="176"/>
    </row>
    <row r="461" spans="2:13" s="1" customFormat="1">
      <c r="B461" s="19"/>
      <c r="G461" s="176"/>
      <c r="H461" s="176"/>
      <c r="I461" s="176"/>
      <c r="J461" s="176"/>
      <c r="K461" s="176"/>
      <c r="L461" s="176"/>
      <c r="M461" s="176"/>
    </row>
    <row r="462" spans="2:13" s="1" customFormat="1">
      <c r="B462" s="19"/>
      <c r="G462" s="176"/>
      <c r="H462" s="176"/>
      <c r="I462" s="176"/>
      <c r="J462" s="176"/>
      <c r="K462" s="176"/>
      <c r="L462" s="176"/>
      <c r="M462" s="176"/>
    </row>
    <row r="463" spans="2:13" s="1" customFormat="1">
      <c r="B463" s="19"/>
      <c r="G463" s="176"/>
      <c r="H463" s="176"/>
      <c r="I463" s="176"/>
      <c r="J463" s="176"/>
      <c r="K463" s="176"/>
      <c r="L463" s="176"/>
      <c r="M463" s="176"/>
    </row>
    <row r="464" spans="2:13" s="1" customFormat="1">
      <c r="B464" s="19"/>
      <c r="G464" s="176"/>
      <c r="H464" s="176"/>
      <c r="I464" s="176"/>
      <c r="J464" s="176"/>
      <c r="K464" s="176"/>
      <c r="L464" s="176"/>
      <c r="M464" s="176"/>
    </row>
    <row r="465" spans="2:13" s="1" customFormat="1">
      <c r="B465" s="19"/>
      <c r="G465" s="176"/>
      <c r="H465" s="176"/>
      <c r="I465" s="176"/>
      <c r="J465" s="176"/>
      <c r="K465" s="176"/>
      <c r="L465" s="176"/>
      <c r="M465" s="176"/>
    </row>
    <row r="466" spans="2:13" s="1" customFormat="1">
      <c r="B466" s="19"/>
      <c r="G466" s="176"/>
      <c r="H466" s="176"/>
      <c r="I466" s="176"/>
      <c r="J466" s="176"/>
      <c r="K466" s="176"/>
      <c r="L466" s="176"/>
      <c r="M466" s="176"/>
    </row>
    <row r="467" spans="2:13" s="1" customFormat="1">
      <c r="B467" s="19"/>
      <c r="G467" s="176"/>
      <c r="H467" s="176"/>
      <c r="I467" s="176"/>
      <c r="J467" s="176"/>
      <c r="K467" s="176"/>
      <c r="L467" s="176"/>
      <c r="M467" s="176"/>
    </row>
    <row r="468" spans="2:13" s="1" customFormat="1">
      <c r="B468" s="19"/>
      <c r="G468" s="176"/>
      <c r="H468" s="176"/>
      <c r="I468" s="176"/>
      <c r="J468" s="176"/>
      <c r="K468" s="176"/>
      <c r="L468" s="176"/>
      <c r="M468" s="176"/>
    </row>
    <row r="469" spans="2:13" s="1" customFormat="1">
      <c r="B469" s="19"/>
      <c r="G469" s="176"/>
      <c r="H469" s="176"/>
      <c r="I469" s="176"/>
      <c r="J469" s="176"/>
      <c r="K469" s="176"/>
      <c r="L469" s="176"/>
      <c r="M469" s="176"/>
    </row>
    <row r="470" spans="2:13" s="1" customFormat="1">
      <c r="B470" s="19"/>
      <c r="G470" s="176"/>
      <c r="H470" s="176"/>
      <c r="I470" s="176"/>
      <c r="J470" s="176"/>
      <c r="K470" s="176"/>
      <c r="L470" s="176"/>
      <c r="M470" s="176"/>
    </row>
    <row r="471" spans="2:13" s="1" customFormat="1">
      <c r="B471" s="19"/>
      <c r="G471" s="176"/>
      <c r="H471" s="176"/>
      <c r="I471" s="176"/>
      <c r="J471" s="176"/>
      <c r="K471" s="176"/>
      <c r="L471" s="176"/>
      <c r="M471" s="176"/>
    </row>
    <row r="472" spans="2:13" s="1" customFormat="1">
      <c r="B472" s="19"/>
      <c r="G472" s="176"/>
      <c r="H472" s="176"/>
      <c r="I472" s="176"/>
      <c r="J472" s="176"/>
      <c r="K472" s="176"/>
      <c r="L472" s="176"/>
      <c r="M472" s="176"/>
    </row>
    <row r="473" spans="2:13" s="1" customFormat="1">
      <c r="B473" s="19"/>
      <c r="G473" s="176"/>
      <c r="H473" s="176"/>
      <c r="I473" s="176"/>
      <c r="J473" s="176"/>
      <c r="K473" s="176"/>
      <c r="L473" s="176"/>
      <c r="M473" s="176"/>
    </row>
    <row r="474" spans="2:13" s="1" customFormat="1">
      <c r="B474" s="19"/>
      <c r="G474" s="176"/>
      <c r="H474" s="176"/>
      <c r="I474" s="176"/>
      <c r="J474" s="176"/>
      <c r="K474" s="176"/>
      <c r="L474" s="176"/>
      <c r="M474" s="176"/>
    </row>
    <row r="475" spans="2:13" s="1" customFormat="1">
      <c r="B475" s="19"/>
      <c r="G475" s="176"/>
      <c r="H475" s="176"/>
      <c r="I475" s="176"/>
      <c r="J475" s="176"/>
      <c r="K475" s="176"/>
      <c r="L475" s="176"/>
      <c r="M475" s="176"/>
    </row>
    <row r="476" spans="2:13" s="1" customFormat="1">
      <c r="B476" s="19"/>
      <c r="G476" s="176"/>
      <c r="H476" s="176"/>
      <c r="I476" s="176"/>
      <c r="J476" s="176"/>
      <c r="K476" s="176"/>
      <c r="L476" s="176"/>
      <c r="M476" s="176"/>
    </row>
    <row r="477" spans="2:13" s="1" customFormat="1">
      <c r="B477" s="19"/>
      <c r="G477" s="176"/>
      <c r="H477" s="176"/>
      <c r="I477" s="176"/>
      <c r="J477" s="176"/>
      <c r="K477" s="176"/>
      <c r="L477" s="176"/>
      <c r="M477" s="176"/>
    </row>
    <row r="478" spans="2:13" s="1" customFormat="1">
      <c r="B478" s="19"/>
      <c r="G478" s="176"/>
      <c r="H478" s="176"/>
      <c r="I478" s="176"/>
      <c r="J478" s="176"/>
      <c r="K478" s="176"/>
      <c r="L478" s="176"/>
      <c r="M478" s="176"/>
    </row>
    <row r="479" spans="2:13" s="1" customFormat="1">
      <c r="B479" s="19"/>
      <c r="G479" s="176"/>
      <c r="H479" s="176"/>
      <c r="I479" s="176"/>
      <c r="J479" s="176"/>
      <c r="K479" s="176"/>
      <c r="L479" s="176"/>
      <c r="M479" s="176"/>
    </row>
    <row r="480" spans="2:13" s="1" customFormat="1">
      <c r="B480" s="19"/>
      <c r="G480" s="176"/>
      <c r="H480" s="176"/>
      <c r="I480" s="176"/>
      <c r="J480" s="176"/>
      <c r="K480" s="176"/>
      <c r="L480" s="176"/>
      <c r="M480" s="176"/>
    </row>
    <row r="481" spans="1:2">
      <c r="A481" s="1"/>
      <c r="B481" s="19"/>
    </row>
    <row r="482" spans="1:2">
      <c r="A482" s="1"/>
      <c r="B482" s="19"/>
    </row>
    <row r="483" spans="1:2">
      <c r="A483" s="1"/>
      <c r="B483" s="19"/>
    </row>
    <row r="484" spans="1:2">
      <c r="A484" s="1"/>
      <c r="B484" s="19"/>
    </row>
    <row r="485" spans="1:2">
      <c r="A485" s="1"/>
      <c r="B485" s="19"/>
    </row>
    <row r="486" spans="1:2">
      <c r="A486" s="1"/>
      <c r="B486" s="19"/>
    </row>
    <row r="487" spans="1:2">
      <c r="A487" s="1"/>
      <c r="B487" s="19"/>
    </row>
    <row r="488" spans="1:2">
      <c r="A488" s="1"/>
      <c r="B488" s="19"/>
    </row>
    <row r="489" spans="1:2">
      <c r="A489" s="1"/>
      <c r="B489" s="19"/>
    </row>
    <row r="490" spans="1:2">
      <c r="A490" s="1"/>
      <c r="B490" s="19"/>
    </row>
  </sheetData>
  <sheetProtection formatCells="0" formatColumns="0" formatRows="0" insertRows="0" deleteRows="0" selectLockedCells="1" sort="0"/>
  <dataConsolidate/>
  <mergeCells count="53">
    <mergeCell ref="B112:F112"/>
    <mergeCell ref="B85:F85"/>
    <mergeCell ref="B89:F89"/>
    <mergeCell ref="B81:F81"/>
    <mergeCell ref="B79:F79"/>
    <mergeCell ref="B87:E87"/>
    <mergeCell ref="B91:E91"/>
    <mergeCell ref="B93:E93"/>
    <mergeCell ref="B88:E88"/>
    <mergeCell ref="B83:F83"/>
    <mergeCell ref="B110:F110"/>
    <mergeCell ref="B105:F105"/>
    <mergeCell ref="B103:E103"/>
    <mergeCell ref="B99:E99"/>
    <mergeCell ref="B101:E101"/>
    <mergeCell ref="B97:F97"/>
    <mergeCell ref="B71:F71"/>
    <mergeCell ref="B73:F73"/>
    <mergeCell ref="B75:F75"/>
    <mergeCell ref="B77:F77"/>
    <mergeCell ref="B58:F58"/>
    <mergeCell ref="B60:F60"/>
    <mergeCell ref="B66:F66"/>
    <mergeCell ref="B64:E64"/>
    <mergeCell ref="B62:C62"/>
    <mergeCell ref="B69:F69"/>
    <mergeCell ref="B68:F68"/>
    <mergeCell ref="A23:B23"/>
    <mergeCell ref="D13:F13"/>
    <mergeCell ref="D14:F14"/>
    <mergeCell ref="D16:F16"/>
    <mergeCell ref="C25:F25"/>
    <mergeCell ref="A14:B14"/>
    <mergeCell ref="A15:B15"/>
    <mergeCell ref="A17:B17"/>
    <mergeCell ref="A13:B13"/>
    <mergeCell ref="A22:B22"/>
    <mergeCell ref="B95:F95"/>
    <mergeCell ref="A1:F4"/>
    <mergeCell ref="D17:F17"/>
    <mergeCell ref="D15:F15"/>
    <mergeCell ref="E5:F5"/>
    <mergeCell ref="D8:E8"/>
    <mergeCell ref="D10:F10"/>
    <mergeCell ref="D11:F11"/>
    <mergeCell ref="D12:F12"/>
    <mergeCell ref="B19:F19"/>
    <mergeCell ref="A10:B10"/>
    <mergeCell ref="A11:B11"/>
    <mergeCell ref="C22:F22"/>
    <mergeCell ref="C23:F23"/>
    <mergeCell ref="A12:B12"/>
    <mergeCell ref="A16:B16"/>
  </mergeCells>
  <hyperlinks>
    <hyperlink ref="B5" r:id="rId1" display="www.BOYDSIGNSYSTEMS.com                                                                     " xr:uid="{00000000-0004-0000-0200-000000000000}"/>
  </hyperlinks>
  <printOptions gridLinesSet="0"/>
  <pageMargins left="0.25" right="0" top="0" bottom="0.5" header="0" footer="0.2"/>
  <pageSetup orientation="portrait" horizontalDpi="4294967293" verticalDpi="4294967293" r:id="rId2"/>
  <headerFooter scaleWithDoc="0">
    <oddFooter xml:space="preserve">&amp;L_x000D_&amp;1#&amp;"Calibri"&amp;8&amp;K000000 Classified as Confidential&amp;C&amp;"Arial,Bold"&amp;8Job # &amp;F    &amp;P of &amp;N  &amp;"Arial,Regular"Initials: Boyd &amp;"Segoe Script,Italic"&amp;10&amp;U  bss  &amp;"Arial,Regular"&amp;8&amp;U Client ______&amp;R&amp;8
</oddFooter>
  </headerFooter>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Proposal</vt:lpstr>
      <vt:lpstr>Proposal!Print_Area</vt:lpstr>
      <vt:lpstr>Proposal!Print_Titles</vt:lpstr>
      <vt:lpstr>Proposal_Descript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Kevon Briggs</dc:creator>
  <cp:lastModifiedBy>Eric Finney</cp:lastModifiedBy>
  <cp:lastPrinted>2025-12-11T19:43:04Z</cp:lastPrinted>
  <dcterms:created xsi:type="dcterms:W3CDTF">2011-12-28T19:57:02Z</dcterms:created>
  <dcterms:modified xsi:type="dcterms:W3CDTF">2026-01-09T18:02:37Z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66cb30-e4d2-460e-89a9-2b8297435ace_Enabled">
    <vt:lpwstr>true</vt:lpwstr>
  </property>
  <property fmtid="{D5CDD505-2E9C-101B-9397-08002B2CF9AE}" pid="3" name="MSIP_Label_de66cb30-e4d2-460e-89a9-2b8297435ace_SetDate">
    <vt:lpwstr>2025-02-05T00:22:11Z</vt:lpwstr>
  </property>
  <property fmtid="{D5CDD505-2E9C-101B-9397-08002B2CF9AE}" pid="4" name="MSIP_Label_de66cb30-e4d2-460e-89a9-2b8297435ace_Method">
    <vt:lpwstr>Standard</vt:lpwstr>
  </property>
  <property fmtid="{D5CDD505-2E9C-101B-9397-08002B2CF9AE}" pid="5" name="MSIP_Label_de66cb30-e4d2-460e-89a9-2b8297435ace_Name">
    <vt:lpwstr>Confidential Anyone</vt:lpwstr>
  </property>
  <property fmtid="{D5CDD505-2E9C-101B-9397-08002B2CF9AE}" pid="6" name="MSIP_Label_de66cb30-e4d2-460e-89a9-2b8297435ace_SiteId">
    <vt:lpwstr>b8af5509-7c98-446f-9fc7-e57c9147034b</vt:lpwstr>
  </property>
  <property fmtid="{D5CDD505-2E9C-101B-9397-08002B2CF9AE}" pid="7" name="MSIP_Label_de66cb30-e4d2-460e-89a9-2b8297435ace_ActionId">
    <vt:lpwstr>d269d12e-7af8-455a-89dd-e2998ad9d493</vt:lpwstr>
  </property>
  <property fmtid="{D5CDD505-2E9C-101B-9397-08002B2CF9AE}" pid="8" name="MSIP_Label_de66cb30-e4d2-460e-89a9-2b8297435ace_ContentBits">
    <vt:lpwstr>2</vt:lpwstr>
  </property>
</Properties>
</file>