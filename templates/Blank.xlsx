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832" firstSheet="0" activeTab="0" autoFilterDateGrouping="1"/>
  </bookViews>
  <sheets>
    <sheet xmlns:r="http://schemas.openxmlformats.org/officeDocument/2006/relationships" name="Proposal" sheetId="1" state="visible" r:id="rId1"/>
  </sheets>
  <definedNames>
    <definedName name="ApprovedCO_Amt">#REF!</definedName>
    <definedName name="ApprovedContract_Amt">#REF!</definedName>
    <definedName name="CO_Descript">#REF!</definedName>
    <definedName name="Estimate_Descript">#REF!</definedName>
    <definedName name="Invoice_Descript">#REF!</definedName>
    <definedName name="JobLink">#REF!</definedName>
    <definedName name="Pack_Descript">#REF!</definedName>
    <definedName name="PackSlip_Descript">#REF!</definedName>
    <definedName name="Proposal_Descript">Proposal!$C$28:$C$46</definedName>
    <definedName name="RCO_Descript">#REF!</definedName>
    <definedName name="UnapprovedCO_Amt">#REF!</definedName>
    <definedName name="Z_A581824D_91D9_4409_9934_4343B9D559AE_.wvu.FilterData" localSheetId="0" hidden="1">Proposal!#REF!</definedName>
    <definedName name="Z_A581824D_91D9_4409_9934_4343B9D559AE_.wvu.PrintArea" localSheetId="0" hidden="1">Proposal!$A$1:$F$117</definedName>
    <definedName name="Z_A581824D_91D9_4409_9934_4343B9D559AE_.wvu.PrintTitles" localSheetId="0" hidden="1">Proposal!$8:$8</definedName>
    <definedName name="Z_A581824D_91D9_4409_9934_4343B9D559AE_.wvu.Rows" localSheetId="0" hidden="1">Proposal!$39:$40</definedName>
    <definedName name="_xlnm.Print_Titles" localSheetId="0">'Proposal'!$8:$8</definedName>
    <definedName name="_xlnm.Print_Area" localSheetId="0">'Proposal'!$A$1:$F$122</definedName>
  </definedNames>
  <calcPr calcId="191029" fullCalcOnLoad="1"/>
</workbook>
</file>

<file path=xl/styles.xml><?xml version="1.0" encoding="utf-8"?>
<styleSheet xmlns="http://schemas.openxmlformats.org/spreadsheetml/2006/main">
  <numFmts count="5">
    <numFmt numFmtId="164" formatCode="[$-409]mmmm\ d\,\ yyyy;@"/>
    <numFmt numFmtId="165" formatCode="&quot;$&quot;#,##0"/>
    <numFmt numFmtId="166" formatCode="[&lt;=9999999]###\-####;\(###\)\ ###\-####"/>
    <numFmt numFmtId="167" formatCode="0.000%"/>
    <numFmt numFmtId="168" formatCode="_(&quot;$&quot;* #,##0.00_);_(&quot;$&quot;* \(#,##0.00\);_(&quot;$&quot;* &quot;-&quot;??_);_(@_)"/>
  </numFmts>
  <fonts count="56">
    <font>
      <name val="Arial"/>
      <family val="2"/>
      <sz val="10"/>
    </font>
    <font>
      <name val="Calibri"/>
      <family val="2"/>
      <color theme="1"/>
      <sz val="11"/>
      <scheme val="minor"/>
    </font>
    <font>
      <name val="Arial"/>
      <family val="2"/>
      <sz val="10"/>
    </font>
    <font>
      <name val="Arial"/>
      <family val="2"/>
      <b val="1"/>
      <sz val="10"/>
    </font>
    <font>
      <name val="Arial"/>
      <family val="2"/>
      <b val="1"/>
      <sz val="12"/>
    </font>
    <font>
      <name val="Arial"/>
      <family val="2"/>
      <b val="1"/>
      <sz val="9"/>
    </font>
    <font>
      <name val="Century Gothic"/>
      <family val="2"/>
      <sz val="10"/>
    </font>
    <font>
      <name val="Arial"/>
      <family val="2"/>
      <sz val="9"/>
    </font>
    <font>
      <name val="Arial"/>
      <family val="2"/>
      <color indexed="12"/>
      <sz val="10"/>
      <u val="single"/>
    </font>
    <font>
      <name val="Arial"/>
      <family val="2"/>
      <color indexed="8"/>
      <sz val="10"/>
    </font>
    <font>
      <name val="Arial"/>
      <family val="2"/>
      <sz val="8"/>
    </font>
    <font>
      <name val="Calibri"/>
      <family val="2"/>
      <sz val="11"/>
    </font>
    <font>
      <name val="Arial"/>
      <family val="2"/>
      <b val="1"/>
      <i val="1"/>
      <sz val="10"/>
    </font>
    <font>
      <name val="Arial Narrow"/>
      <family val="2"/>
      <sz val="8"/>
    </font>
    <font>
      <name val="Tahoma"/>
      <family val="2"/>
      <color indexed="81"/>
      <sz val="9"/>
    </font>
    <font>
      <name val="Arial"/>
      <family val="2"/>
      <i val="1"/>
      <sz val="8"/>
    </font>
    <font>
      <name val="Arno Pro Smbd SmText"/>
      <family val="1"/>
      <b val="1"/>
      <sz val="8"/>
    </font>
    <font>
      <name val="Courier New"/>
      <family val="3"/>
      <b val="1"/>
      <sz val="9"/>
    </font>
    <font>
      <name val="Arial"/>
      <family val="2"/>
      <b val="1"/>
      <sz val="8"/>
    </font>
    <font>
      <name val="Constantia"/>
      <family val="1"/>
      <i val="1"/>
      <sz val="8"/>
    </font>
    <font>
      <name val="Arial"/>
      <family val="2"/>
      <color indexed="56"/>
      <sz val="9"/>
    </font>
    <font>
      <name val="Cordia New"/>
      <family val="2"/>
      <sz val="10"/>
    </font>
    <font>
      <name val="Arial"/>
      <family val="2"/>
      <b val="1"/>
      <sz val="8"/>
      <u val="single"/>
    </font>
    <font>
      <name val="Segoe UI"/>
      <family val="2"/>
      <sz val="9"/>
    </font>
    <font>
      <name val="Segoe UI"/>
      <family val="2"/>
      <b val="1"/>
      <sz val="9"/>
    </font>
    <font>
      <name val="Arial"/>
      <family val="2"/>
      <b val="1"/>
      <sz val="18"/>
    </font>
    <font>
      <name val="Arial"/>
      <family val="2"/>
      <b val="1"/>
      <sz val="11"/>
    </font>
    <font>
      <name val="Albertus Extra Bold"/>
      <family val="2"/>
      <sz val="9"/>
    </font>
    <font>
      <name val="Segoe UI"/>
      <family val="2"/>
      <b val="1"/>
      <sz val="10"/>
    </font>
    <font>
      <name val="Arial"/>
      <family val="2"/>
      <b val="1"/>
      <color indexed="56"/>
      <sz val="12"/>
    </font>
    <font>
      <name val="Arial"/>
      <family val="2"/>
      <color indexed="56"/>
      <sz val="12"/>
    </font>
    <font>
      <name val="GarmdITC BkCn BT"/>
      <family val="1"/>
      <sz val="16"/>
    </font>
    <font>
      <name val="Arial"/>
      <family val="2"/>
      <b val="1"/>
      <i val="1"/>
      <sz val="8"/>
    </font>
    <font>
      <name val="Tahoma"/>
      <family val="2"/>
      <b val="1"/>
      <color indexed="81"/>
      <sz val="9"/>
    </font>
    <font>
      <name val="Tahoma"/>
      <family val="2"/>
      <b val="1"/>
      <color indexed="81"/>
      <sz val="9"/>
      <u val="single"/>
    </font>
    <font>
      <name val="Tahoma"/>
      <family val="2"/>
      <color indexed="81"/>
      <sz val="8"/>
    </font>
    <font>
      <name val="Arial"/>
      <family val="2"/>
      <color indexed="56"/>
      <sz val="8"/>
    </font>
    <font>
      <name val="Arial"/>
      <family val="2"/>
      <color indexed="63"/>
      <sz val="9"/>
    </font>
    <font>
      <name val="Arial"/>
      <family val="2"/>
      <color indexed="63"/>
      <sz val="10"/>
    </font>
    <font>
      <name val="Arial"/>
      <family val="2"/>
      <b val="1"/>
      <color indexed="63"/>
      <sz val="10"/>
    </font>
    <font>
      <name val="Arial"/>
      <family val="2"/>
      <b val="1"/>
      <i val="1"/>
      <color indexed="63"/>
      <sz val="10"/>
    </font>
    <font>
      <name val="Arial"/>
      <family val="2"/>
      <sz val="10"/>
    </font>
    <font>
      <name val="Segoe UI Semibold"/>
      <family val="2"/>
      <b val="1"/>
      <sz val="10"/>
      <u val="single"/>
    </font>
    <font>
      <name val="Arial"/>
      <family val="2"/>
      <i val="1"/>
      <sz val="10"/>
    </font>
    <font>
      <name val="Century Schoolbook"/>
      <family val="1"/>
      <i val="1"/>
      <sz val="8"/>
    </font>
    <font>
      <name val="Century Schoolbook"/>
      <family val="1"/>
      <b val="1"/>
      <i val="1"/>
      <sz val="8"/>
    </font>
    <font>
      <name val="Caxton Bk BT"/>
      <family val="1"/>
      <i val="1"/>
      <sz val="8"/>
    </font>
    <font>
      <name val="Arial"/>
      <family val="2"/>
      <color indexed="63"/>
      <sz val="8"/>
    </font>
    <font>
      <name val="Arial"/>
      <family val="2"/>
      <b val="1"/>
      <i val="1"/>
      <color theme="1"/>
      <sz val="9"/>
    </font>
    <font>
      <name val="Arial Narrow"/>
      <family val="2"/>
      <b val="1"/>
      <color theme="1"/>
      <sz val="9"/>
    </font>
    <font>
      <name val="Arial"/>
      <family val="2"/>
      <color theme="1"/>
      <sz val="8"/>
    </font>
    <font>
      <name val="Arial Narrow"/>
      <family val="2"/>
      <color indexed="8"/>
      <sz val="8"/>
    </font>
    <font>
      <name val="Arial"/>
      <family val="2"/>
      <b val="1"/>
      <color theme="2" tint="-0.249977111117893"/>
      <sz val="8"/>
    </font>
    <font>
      <name val="Arial"/>
      <family val="2"/>
      <b val="1"/>
      <i val="1"/>
      <color theme="1"/>
      <sz val="8"/>
    </font>
    <font>
      <name val="Arial"/>
      <family val="2"/>
      <color indexed="8"/>
      <sz val="8"/>
    </font>
    <font>
      <name val="Century Gothic"/>
      <family val="2"/>
      <sz val="11"/>
    </font>
  </fonts>
  <fills count="6">
    <fill>
      <patternFill/>
    </fill>
    <fill>
      <patternFill patternType="gray125"/>
    </fill>
    <fill>
      <patternFill patternType="solid">
        <fgColor indexed="44"/>
        <bgColor indexed="64"/>
      </patternFill>
    </fill>
    <fill>
      <patternFill patternType="solid">
        <fgColor rgb="FFE6E6E6"/>
        <bgColor indexed="64"/>
      </patternFill>
    </fill>
    <fill>
      <patternFill patternType="solid">
        <fgColor theme="0"/>
        <bgColor indexed="64"/>
      </patternFill>
    </fill>
    <fill>
      <patternFill patternType="solid">
        <fgColor theme="1"/>
        <bgColor indexed="64"/>
      </patternFill>
    </fill>
  </fills>
  <borders count="23">
    <border>
      <left/>
      <right/>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style="thin">
        <color auto="1"/>
      </top>
      <bottom style="thin">
        <color theme="0" tint="-0.1499984740745262"/>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right style="thin">
        <color theme="0" tint="-0.1499984740745262"/>
      </right>
      <top/>
      <bottom/>
      <diagonal/>
    </border>
    <border>
      <left/>
      <right style="thin">
        <color theme="0" tint="-0.1499984740745262"/>
      </right>
      <top style="thin">
        <color theme="0" tint="-0.1499984740745262"/>
      </top>
      <bottom style="thin">
        <color theme="0" tint="-0.1499984740745262"/>
      </bottom>
      <diagonal/>
    </border>
    <border>
      <left style="thin">
        <color theme="0" tint="-0.1499984740745262"/>
      </left>
      <right style="thin">
        <color theme="0" tint="-0.1499984740745262"/>
      </right>
      <top/>
      <bottom/>
      <diagonal/>
    </border>
    <border>
      <left style="thin">
        <color indexed="64"/>
      </left>
      <right style="thin">
        <color indexed="64"/>
      </right>
      <top style="thin">
        <color indexed="64"/>
      </top>
      <bottom style="thin">
        <color theme="0" tint="-0.1499984740745262"/>
      </bottom>
      <diagonal/>
    </border>
    <border>
      <left style="thin">
        <color indexed="64"/>
      </left>
      <right/>
      <top style="thin">
        <color indexed="64"/>
      </top>
      <bottom style="thin">
        <color theme="0" tint="-0.1499984740745262"/>
      </bottom>
      <diagonal/>
    </border>
    <border>
      <left style="thin">
        <color indexed="64"/>
      </left>
      <right style="thin">
        <color indexed="64"/>
      </right>
      <top style="thin">
        <color indexed="64"/>
      </top>
      <bottom style="thin">
        <color theme="1"/>
      </bottom>
      <diagonal/>
    </border>
    <border>
      <left/>
      <right/>
      <top style="thin">
        <color indexed="64"/>
      </top>
      <bottom style="thin">
        <color theme="1"/>
      </bottom>
      <diagonal/>
    </border>
    <border>
      <left style="thin">
        <color indexed="64"/>
      </left>
      <right/>
      <top style="thin">
        <color indexed="64"/>
      </top>
      <bottom style="thin">
        <color theme="1"/>
      </bottom>
      <diagonal/>
    </border>
    <border>
      <left/>
      <right/>
      <top style="thin">
        <color theme="0" tint="-0.1499984740745262"/>
      </top>
      <bottom style="thin">
        <color theme="0" tint="-0.1499984740745262"/>
      </bottom>
      <diagonal/>
    </border>
    <border>
      <left/>
      <right/>
      <top style="thin">
        <color indexed="64"/>
      </top>
      <bottom/>
      <diagonal/>
    </border>
    <border>
      <left/>
      <right/>
      <top style="thin">
        <color indexed="64"/>
      </top>
      <bottom style="thin">
        <color theme="0" tint="-0.1499984740745262"/>
      </bottom>
      <diagonal/>
    </border>
  </borders>
  <cellStyleXfs count="8">
    <xf numFmtId="0" fontId="41" fillId="0" borderId="0"/>
    <xf numFmtId="43" fontId="41" fillId="0" borderId="0"/>
    <xf numFmtId="44" fontId="41" fillId="0" borderId="0"/>
    <xf numFmtId="0" fontId="8" fillId="0" borderId="0" applyAlignment="1" applyProtection="1">
      <alignment vertical="top"/>
      <protection locked="0" hidden="0"/>
    </xf>
    <xf numFmtId="0" fontId="41" fillId="0" borderId="0"/>
    <xf numFmtId="0" fontId="41" fillId="0" borderId="0"/>
    <xf numFmtId="44" fontId="1" fillId="0" borderId="0"/>
    <xf numFmtId="0" fontId="1" fillId="0" borderId="0"/>
  </cellStyleXfs>
  <cellXfs count="184">
    <xf numFmtId="0" fontId="0" fillId="0" borderId="0" pivotButton="0" quotePrefix="0" xfId="0"/>
    <xf numFmtId="0" fontId="0" fillId="0" borderId="0" applyProtection="1" pivotButton="0" quotePrefix="0" xfId="0">
      <protection locked="0" hidden="0"/>
    </xf>
    <xf numFmtId="0" fontId="0" fillId="0" borderId="0" applyAlignment="1" applyProtection="1" pivotButton="0" quotePrefix="0" xfId="0">
      <alignment horizontal="left"/>
      <protection locked="0" hidden="0"/>
    </xf>
    <xf numFmtId="0" fontId="0" fillId="0" borderId="1" pivotButton="0" quotePrefix="0" xfId="0"/>
    <xf numFmtId="49" fontId="0" fillId="0" borderId="0" pivotButton="0" quotePrefix="0" xfId="0"/>
    <xf numFmtId="0" fontId="20" fillId="0" borderId="0" applyAlignment="1" pivotButton="0" quotePrefix="0" xfId="0">
      <alignment vertical="top"/>
    </xf>
    <xf numFmtId="0" fontId="0" fillId="0" borderId="0" applyAlignment="1" pivotButton="0" quotePrefix="0" xfId="0">
      <alignment vertical="top"/>
    </xf>
    <xf numFmtId="49" fontId="0" fillId="0" borderId="0" applyProtection="1" pivotButton="0" quotePrefix="0" xfId="0">
      <protection locked="0" hidden="0"/>
    </xf>
    <xf numFmtId="0" fontId="9" fillId="0" borderId="0" applyProtection="1" pivotButton="0" quotePrefix="0" xfId="0">
      <protection locked="0" hidden="0"/>
    </xf>
    <xf numFmtId="0" fontId="10" fillId="0" borderId="0" applyProtection="1" pivotButton="0" quotePrefix="0" xfId="0">
      <protection locked="0" hidden="0"/>
    </xf>
    <xf numFmtId="0" fontId="10" fillId="0" borderId="0" applyAlignment="1" applyProtection="1" pivotButton="0" quotePrefix="0" xfId="0">
      <alignment vertical="center"/>
      <protection locked="0" hidden="0"/>
    </xf>
    <xf numFmtId="0" fontId="10" fillId="0" borderId="0" applyAlignment="1" applyProtection="1" pivotButton="0" quotePrefix="0" xfId="0">
      <alignment horizontal="right"/>
      <protection locked="0" hidden="0"/>
    </xf>
    <xf numFmtId="0" fontId="43" fillId="0" borderId="0" applyProtection="1" pivotButton="0" quotePrefix="0" xfId="0">
      <protection locked="0" hidden="0"/>
    </xf>
    <xf numFmtId="0" fontId="32" fillId="0" borderId="0" applyAlignment="1" applyProtection="1" pivotButton="0" quotePrefix="0" xfId="0">
      <alignment horizontal="right"/>
      <protection locked="0" hidden="0"/>
    </xf>
    <xf numFmtId="49" fontId="0" fillId="0" borderId="0" applyAlignment="1" applyProtection="1" pivotButton="0" quotePrefix="0" xfId="0">
      <alignment horizontal="right"/>
      <protection locked="0" hidden="0"/>
    </xf>
    <xf numFmtId="0" fontId="46" fillId="0" borderId="0" applyAlignment="1" applyProtection="1" pivotButton="0" quotePrefix="0" xfId="0">
      <alignment horizontal="left"/>
      <protection locked="0" hidden="0"/>
    </xf>
    <xf numFmtId="0" fontId="13" fillId="0" borderId="0" applyAlignment="1" applyProtection="1" pivotButton="0" quotePrefix="0" xfId="0">
      <alignment horizontal="right"/>
      <protection locked="0" hidden="0"/>
    </xf>
    <xf numFmtId="0" fontId="3" fillId="0" borderId="0" applyAlignment="1" applyProtection="1" pivotButton="0" quotePrefix="0" xfId="0">
      <alignment horizontal="right"/>
      <protection locked="0" hidden="0"/>
    </xf>
    <xf numFmtId="0" fontId="0" fillId="0" borderId="0" applyAlignment="1" applyProtection="1" pivotButton="0" quotePrefix="0" xfId="0">
      <alignment horizontal="left" vertical="top"/>
      <protection locked="0" hidden="0"/>
    </xf>
    <xf numFmtId="0" fontId="0" fillId="0" borderId="0" applyAlignment="1" applyProtection="1" pivotButton="0" quotePrefix="0" xfId="0">
      <alignment vertical="top"/>
      <protection locked="0" hidden="0"/>
    </xf>
    <xf numFmtId="0" fontId="5" fillId="0" borderId="0" applyAlignment="1" pivotButton="0" quotePrefix="0" xfId="0">
      <alignment horizontal="left"/>
    </xf>
    <xf numFmtId="0" fontId="3" fillId="0" borderId="9" applyAlignment="1" pivotButton="0" quotePrefix="0" xfId="0">
      <alignment horizontal="center"/>
    </xf>
    <xf numFmtId="0" fontId="0" fillId="0" borderId="0" applyAlignment="1" pivotButton="0" quotePrefix="0" xfId="0">
      <alignment vertical="top" wrapText="1"/>
    </xf>
    <xf numFmtId="0" fontId="4" fillId="0" borderId="0" applyAlignment="1" applyProtection="1" pivotButton="0" quotePrefix="0" xfId="0">
      <alignment horizontal="left" vertical="center"/>
      <protection locked="0" hidden="0"/>
    </xf>
    <xf numFmtId="0" fontId="3" fillId="0" borderId="0" applyAlignment="1" applyProtection="1" pivotButton="0" quotePrefix="0" xfId="0">
      <alignment horizontal="center"/>
      <protection locked="0" hidden="0"/>
    </xf>
    <xf numFmtId="0" fontId="3" fillId="0" borderId="0" applyProtection="1" pivotButton="0" quotePrefix="0" xfId="0">
      <protection locked="0" hidden="0"/>
    </xf>
    <xf numFmtId="4" fontId="46" fillId="0" borderId="0" applyProtection="1" pivotButton="0" quotePrefix="0" xfId="0">
      <protection locked="0" hidden="0"/>
    </xf>
    <xf numFmtId="49" fontId="7" fillId="0" borderId="17" applyAlignment="1" pivotButton="0" quotePrefix="0" xfId="0">
      <alignment horizontal="center" vertical="center"/>
    </xf>
    <xf numFmtId="0" fontId="17" fillId="0" borderId="18" applyAlignment="1" pivotButton="0" quotePrefix="0" xfId="0">
      <alignment horizontal="center" vertical="center" wrapText="1"/>
    </xf>
    <xf numFmtId="0" fontId="17" fillId="0" borderId="17" applyAlignment="1" pivotButton="0" quotePrefix="0" xfId="0">
      <alignment horizontal="center" vertical="center"/>
    </xf>
    <xf numFmtId="0" fontId="17" fillId="0" borderId="17" applyAlignment="1" pivotButton="0" quotePrefix="0" xfId="0">
      <alignment horizontal="center" vertical="center" wrapText="1"/>
    </xf>
    <xf numFmtId="0" fontId="7" fillId="0" borderId="12" applyAlignment="1" applyProtection="1" pivotButton="0" quotePrefix="0" xfId="0">
      <alignment horizontal="left" wrapText="1"/>
      <protection locked="0" hidden="0"/>
    </xf>
    <xf numFmtId="0" fontId="31" fillId="0" borderId="0" applyAlignment="1" pivotButton="0" quotePrefix="0" xfId="0">
      <alignment horizontal="left"/>
    </xf>
    <xf numFmtId="164" fontId="6" fillId="0" borderId="0" applyAlignment="1" pivotButton="0" quotePrefix="0" xfId="0">
      <alignment horizontal="left"/>
    </xf>
    <xf numFmtId="4" fontId="44" fillId="0" borderId="0" applyProtection="1" pivotButton="0" quotePrefix="0" xfId="0">
      <protection locked="0" hidden="0"/>
    </xf>
    <xf numFmtId="0" fontId="45" fillId="0" borderId="0" applyAlignment="1" applyProtection="1" pivotButton="0" quotePrefix="0" xfId="0">
      <alignment horizontal="left"/>
      <protection locked="0" hidden="0"/>
    </xf>
    <xf numFmtId="49" fontId="10" fillId="0" borderId="0" pivotButton="0" quotePrefix="0" xfId="0"/>
    <xf numFmtId="164" fontId="2" fillId="0" borderId="0" applyAlignment="1" applyProtection="1" pivotButton="0" quotePrefix="0" xfId="0">
      <alignment horizontal="left"/>
      <protection locked="0" hidden="0"/>
    </xf>
    <xf numFmtId="49" fontId="7" fillId="0" borderId="0" pivotButton="0" quotePrefix="0" xfId="0"/>
    <xf numFmtId="0" fontId="10" fillId="0" borderId="0" applyAlignment="1" pivotButton="0" quotePrefix="0" xfId="0">
      <alignment horizontal="right"/>
    </xf>
    <xf numFmtId="49" fontId="0" fillId="0" borderId="0" applyAlignment="1" pivotButton="0" quotePrefix="0" xfId="0">
      <alignment horizontal="right" vertical="top"/>
    </xf>
    <xf numFmtId="9" fontId="0" fillId="0" borderId="0" applyAlignment="1" pivotButton="0" quotePrefix="0" xfId="0">
      <alignment horizontal="left" vertical="top"/>
    </xf>
    <xf numFmtId="165" fontId="28" fillId="2" borderId="0" applyAlignment="1" pivotButton="0" quotePrefix="0" xfId="0">
      <alignment horizontal="center" vertical="center"/>
    </xf>
    <xf numFmtId="0" fontId="10" fillId="0" borderId="0" applyAlignment="1" pivotButton="0" quotePrefix="0" xfId="0">
      <alignment horizontal="left" vertical="top"/>
    </xf>
    <xf numFmtId="9" fontId="24" fillId="0" borderId="0" applyAlignment="1" pivotButton="0" quotePrefix="0" xfId="0">
      <alignment horizontal="left" vertical="top"/>
    </xf>
    <xf numFmtId="0" fontId="23" fillId="0" borderId="0" applyAlignment="1" pivotButton="0" quotePrefix="0" xfId="0">
      <alignment horizontal="center" vertical="center"/>
    </xf>
    <xf numFmtId="0" fontId="0" fillId="0" borderId="0" applyAlignment="1" pivotButton="0" quotePrefix="0" xfId="0">
      <alignment horizontal="left" vertical="top"/>
    </xf>
    <xf numFmtId="0" fontId="4" fillId="0" borderId="0" applyAlignment="1" pivotButton="0" quotePrefix="0" xfId="0">
      <alignment vertical="top"/>
    </xf>
    <xf numFmtId="0" fontId="20" fillId="0" borderId="0" applyProtection="1" pivotButton="0" quotePrefix="0" xfId="3">
      <protection locked="0" hidden="0"/>
    </xf>
    <xf numFmtId="0" fontId="36" fillId="0" borderId="0" applyProtection="1" pivotButton="0" quotePrefix="0" xfId="3">
      <protection locked="0" hidden="0"/>
    </xf>
    <xf numFmtId="0" fontId="0" fillId="0" borderId="0" applyAlignment="1" applyProtection="1" pivotButton="0" quotePrefix="0" xfId="0">
      <alignment horizontal="center" vertical="center"/>
      <protection locked="0" hidden="0"/>
    </xf>
    <xf numFmtId="0" fontId="11" fillId="0" borderId="0" applyAlignment="1" applyProtection="1" pivotButton="0" quotePrefix="0" xfId="0">
      <alignment vertical="center"/>
      <protection locked="0" hidden="0"/>
    </xf>
    <xf numFmtId="49" fontId="0" fillId="0" borderId="8" applyProtection="1" pivotButton="0" quotePrefix="0" xfId="0">
      <protection locked="0" hidden="0"/>
    </xf>
    <xf numFmtId="0" fontId="7" fillId="0" borderId="0" applyAlignment="1" applyProtection="1" pivotButton="0" quotePrefix="0" xfId="0">
      <alignment horizontal="left"/>
      <protection locked="0" hidden="0"/>
    </xf>
    <xf numFmtId="166" fontId="53" fillId="0" borderId="5" applyAlignment="1" applyProtection="1" pivotButton="0" quotePrefix="0" xfId="0">
      <alignment horizontal="center"/>
      <protection locked="0" hidden="0"/>
    </xf>
    <xf numFmtId="0" fontId="21" fillId="0" borderId="0" applyAlignment="1" applyProtection="1" pivotButton="0" quotePrefix="0" xfId="0">
      <alignment vertical="center"/>
      <protection locked="0" hidden="0"/>
    </xf>
    <xf numFmtId="0" fontId="18" fillId="0" borderId="0" applyAlignment="1" applyProtection="1" pivotButton="0" quotePrefix="0" xfId="0">
      <alignment horizontal="center"/>
      <protection locked="0" hidden="0"/>
    </xf>
    <xf numFmtId="49" fontId="16" fillId="0" borderId="0" applyAlignment="1" applyProtection="1" pivotButton="0" quotePrefix="0" xfId="0">
      <alignment horizontal="center" vertical="top" wrapText="1"/>
      <protection locked="0" hidden="0"/>
    </xf>
    <xf numFmtId="1" fontId="7" fillId="0" borderId="14" applyAlignment="1" applyProtection="1" pivotButton="0" quotePrefix="0" xfId="0">
      <alignment horizontal="center" vertical="center"/>
      <protection locked="0" hidden="0"/>
    </xf>
    <xf numFmtId="0" fontId="17" fillId="0" borderId="12" applyAlignment="1" applyProtection="1" pivotButton="0" quotePrefix="0" xfId="0">
      <alignment horizontal="center" vertical="center" wrapText="1"/>
      <protection locked="0" hidden="0"/>
    </xf>
    <xf numFmtId="0" fontId="17" fillId="0" borderId="12" applyAlignment="1" applyProtection="1" pivotButton="0" quotePrefix="0" xfId="0">
      <alignment horizontal="center" vertical="center"/>
      <protection locked="0" hidden="0"/>
    </xf>
    <xf numFmtId="0" fontId="21" fillId="0" borderId="0" applyAlignment="1" applyProtection="1" pivotButton="0" quotePrefix="0" xfId="0">
      <alignment horizontal="right" vertical="center"/>
      <protection locked="0" hidden="0"/>
    </xf>
    <xf numFmtId="49" fontId="0" fillId="0" borderId="1" applyProtection="1" pivotButton="0" quotePrefix="0" xfId="0">
      <protection locked="0" hidden="0"/>
    </xf>
    <xf numFmtId="0" fontId="20" fillId="0" borderId="1" applyAlignment="1" applyProtection="1" pivotButton="0" quotePrefix="0" xfId="0">
      <alignment vertical="top"/>
      <protection locked="0" hidden="0"/>
    </xf>
    <xf numFmtId="166" fontId="48" fillId="3" borderId="15" applyAlignment="1" applyProtection="1" pivotButton="0" quotePrefix="0" xfId="0">
      <alignment horizontal="center" vertical="center"/>
      <protection locked="0" hidden="0"/>
    </xf>
    <xf numFmtId="0" fontId="18" fillId="0" borderId="0" applyAlignment="1" applyProtection="1" pivotButton="0" quotePrefix="0" xfId="0">
      <alignment horizontal="left"/>
      <protection locked="0" hidden="0"/>
    </xf>
    <xf numFmtId="0" fontId="22" fillId="0" borderId="0" applyAlignment="1" applyProtection="1" pivotButton="0" quotePrefix="0" xfId="0">
      <alignment horizontal="left"/>
      <protection locked="0" hidden="0"/>
    </xf>
    <xf numFmtId="0" fontId="3" fillId="0" borderId="0" applyAlignment="1" applyProtection="1" pivotButton="0" quotePrefix="0" xfId="0">
      <alignment vertical="top"/>
      <protection locked="0" hidden="0"/>
    </xf>
    <xf numFmtId="0" fontId="0"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vertical="top" wrapText="1"/>
    </xf>
    <xf numFmtId="4" fontId="10" fillId="0" borderId="0" applyProtection="1" pivotButton="0" quotePrefix="0" xfId="0">
      <protection locked="0" hidden="0"/>
    </xf>
    <xf numFmtId="0" fontId="19" fillId="0" borderId="0" applyAlignment="1" applyProtection="1" pivotButton="0" quotePrefix="0" xfId="0">
      <alignment horizontal="left" vertical="center" wrapText="1"/>
      <protection locked="0" hidden="0"/>
    </xf>
    <xf numFmtId="0" fontId="15" fillId="0" borderId="0" applyAlignment="1" applyProtection="1" pivotButton="0" quotePrefix="0" xfId="0">
      <alignment horizontal="left"/>
      <protection locked="0" hidden="0"/>
    </xf>
    <xf numFmtId="0" fontId="13" fillId="0" borderId="0" applyAlignment="1" applyProtection="1" pivotButton="0" quotePrefix="0" xfId="0">
      <alignment horizontal="left"/>
      <protection locked="0" hidden="0"/>
    </xf>
    <xf numFmtId="4" fontId="3" fillId="0" borderId="0" applyAlignment="1" pivotButton="0" quotePrefix="0" xfId="1">
      <alignment horizontal="right"/>
    </xf>
    <xf numFmtId="0" fontId="0" fillId="0" borderId="0" applyAlignment="1" pivotButton="0" quotePrefix="0" xfId="0">
      <alignment horizontal="left" vertical="center" wrapText="1"/>
    </xf>
    <xf numFmtId="4" fontId="2" fillId="0" borderId="0" applyAlignment="1" applyProtection="1" pivotButton="0" quotePrefix="0" xfId="1">
      <alignment horizontal="right"/>
      <protection locked="0" hidden="0"/>
    </xf>
    <xf numFmtId="4" fontId="2" fillId="0" borderId="2" applyAlignment="1" applyProtection="1" pivotButton="0" quotePrefix="0" xfId="1">
      <alignment horizontal="right"/>
      <protection locked="0" hidden="0"/>
    </xf>
    <xf numFmtId="9" fontId="27" fillId="0" borderId="1" applyAlignment="1" applyProtection="1" pivotButton="0" quotePrefix="0" xfId="0">
      <alignment horizontal="center" vertical="top"/>
      <protection locked="0" hidden="0"/>
    </xf>
    <xf numFmtId="0" fontId="52" fillId="0" borderId="3" applyAlignment="1" applyProtection="1" pivotButton="0" quotePrefix="0" xfId="0">
      <alignment horizontal="center" wrapText="1"/>
      <protection locked="0" hidden="0"/>
    </xf>
    <xf numFmtId="0" fontId="47" fillId="0" borderId="3" applyAlignment="1" applyProtection="1" pivotButton="0" quotePrefix="0" xfId="0">
      <alignment horizontal="left" wrapText="1"/>
      <protection locked="0" hidden="0"/>
    </xf>
    <xf numFmtId="0" fontId="38" fillId="0" borderId="3" applyAlignment="1" applyProtection="1" pivotButton="0" quotePrefix="0" xfId="4">
      <alignment horizontal="center" vertical="center"/>
      <protection locked="0" hidden="0"/>
    </xf>
    <xf numFmtId="4" fontId="40" fillId="0" borderId="3" applyAlignment="1" applyProtection="1" pivotButton="0" quotePrefix="0" xfId="0">
      <alignment horizontal="right" vertical="center"/>
      <protection locked="0" hidden="0"/>
    </xf>
    <xf numFmtId="4" fontId="39" fillId="0" borderId="3" applyAlignment="1" pivotButton="0" quotePrefix="0" xfId="2">
      <alignment vertical="center"/>
    </xf>
    <xf numFmtId="1" fontId="7" fillId="4" borderId="11" applyAlignment="1" applyProtection="1" pivotButton="0" quotePrefix="0" xfId="0">
      <alignment horizontal="center" vertical="center"/>
      <protection locked="0" hidden="0"/>
    </xf>
    <xf numFmtId="0" fontId="7" fillId="4" borderId="13" applyAlignment="1" applyProtection="1" pivotButton="0" quotePrefix="0" xfId="0">
      <alignment horizontal="center" vertical="center" wrapText="1"/>
      <protection locked="0" hidden="0"/>
    </xf>
    <xf numFmtId="0" fontId="7" fillId="4" borderId="13" applyAlignment="1" applyProtection="1" pivotButton="0" quotePrefix="0" xfId="0">
      <alignment horizontal="left" vertical="center" wrapText="1"/>
      <protection locked="0" hidden="0"/>
    </xf>
    <xf numFmtId="0" fontId="7" fillId="4" borderId="13" applyAlignment="1" applyProtection="1" pivotButton="0" quotePrefix="0" xfId="4">
      <alignment horizontal="center" vertical="center"/>
      <protection locked="0" hidden="0"/>
    </xf>
    <xf numFmtId="4" fontId="7" fillId="4" borderId="13" applyAlignment="1" applyProtection="1" pivotButton="0" quotePrefix="0" xfId="0">
      <alignment vertical="center"/>
      <protection locked="0" hidden="0"/>
    </xf>
    <xf numFmtId="49" fontId="37" fillId="0" borderId="3" applyAlignment="1" applyProtection="1" pivotButton="0" quotePrefix="0" xfId="0">
      <alignment horizontal="center" vertical="top"/>
      <protection locked="0" hidden="0"/>
    </xf>
    <xf numFmtId="0" fontId="10" fillId="0" borderId="8" applyAlignment="1" pivotButton="0" quotePrefix="0" xfId="0">
      <alignment horizontal="center"/>
    </xf>
    <xf numFmtId="0" fontId="50" fillId="0" borderId="9" applyAlignment="1" pivotButton="0" quotePrefix="0" xfId="3">
      <alignment horizontal="center"/>
    </xf>
    <xf numFmtId="0" fontId="10" fillId="0" borderId="9" applyAlignment="1" pivotButton="0" quotePrefix="0" xfId="0">
      <alignment horizontal="center"/>
    </xf>
    <xf numFmtId="166" fontId="10" fillId="0" borderId="4" applyAlignment="1" pivotButton="0" quotePrefix="0" xfId="3">
      <alignment horizontal="center"/>
    </xf>
    <xf numFmtId="0" fontId="26" fillId="0" borderId="0" pivotButton="0" quotePrefix="0" xfId="0"/>
    <xf numFmtId="0" fontId="25" fillId="0" borderId="1" applyAlignment="1" applyProtection="1" pivotButton="0" quotePrefix="0" xfId="0">
      <alignment horizontal="left" vertical="center" wrapText="1"/>
      <protection locked="0" hidden="0"/>
    </xf>
    <xf numFmtId="0" fontId="25" fillId="0" borderId="0" applyAlignment="1" pivotButton="0" quotePrefix="0" xfId="0">
      <alignment horizontal="left" vertical="center" wrapText="1"/>
    </xf>
    <xf numFmtId="0" fontId="25" fillId="0" borderId="0" applyAlignment="1" pivotButton="0" quotePrefix="0" xfId="0">
      <alignment horizontal="right" vertical="center" wrapText="1"/>
    </xf>
    <xf numFmtId="4" fontId="0" fillId="0" borderId="0" applyAlignment="1" pivotButton="0" quotePrefix="0" xfId="1">
      <alignment horizontal="right"/>
    </xf>
    <xf numFmtId="167" fontId="2" fillId="0" borderId="0" applyAlignment="1" pivotButton="0" quotePrefix="0" xfId="1">
      <alignment horizontal="right"/>
    </xf>
    <xf numFmtId="0" fontId="7" fillId="4" borderId="13" applyAlignment="1" applyProtection="1" pivotButton="0" quotePrefix="0" xfId="7">
      <alignment horizontal="center" vertical="center" wrapText="1"/>
      <protection locked="0" hidden="0"/>
    </xf>
    <xf numFmtId="0" fontId="7" fillId="4" borderId="13" applyAlignment="1" applyProtection="1" pivotButton="0" quotePrefix="0" xfId="7">
      <alignment horizontal="left" vertical="center" wrapText="1"/>
      <protection locked="0" hidden="0"/>
    </xf>
    <xf numFmtId="4" fontId="7" fillId="4" borderId="13" applyAlignment="1" applyProtection="1" pivotButton="0" quotePrefix="0" xfId="7">
      <alignment vertical="center"/>
      <protection locked="0" hidden="0"/>
    </xf>
    <xf numFmtId="49" fontId="10" fillId="0" borderId="6" applyProtection="1" pivotButton="0" quotePrefix="0" xfId="0">
      <protection locked="0" hidden="0"/>
    </xf>
    <xf numFmtId="0" fontId="0" fillId="0" borderId="6" applyProtection="1" pivotButton="0" quotePrefix="0" xfId="0">
      <protection locked="0" hidden="0"/>
    </xf>
    <xf numFmtId="168" fontId="3" fillId="0" borderId="6" applyAlignment="1" applyProtection="1" pivotButton="0" quotePrefix="0" xfId="2">
      <alignment horizontal="right"/>
      <protection locked="0" hidden="0"/>
    </xf>
    <xf numFmtId="168" fontId="3" fillId="0" borderId="6" applyProtection="1" pivotButton="0" quotePrefix="0" xfId="2">
      <protection locked="0" hidden="0"/>
    </xf>
    <xf numFmtId="0" fontId="7" fillId="0" borderId="0" applyProtection="1" pivotButton="0" quotePrefix="0" xfId="0">
      <protection locked="0" hidden="0"/>
    </xf>
    <xf numFmtId="0" fontId="17" fillId="4" borderId="19" applyAlignment="1" pivotButton="0" quotePrefix="0" xfId="0">
      <alignment horizontal="center" vertical="center"/>
    </xf>
    <xf numFmtId="0" fontId="17" fillId="0" borderId="0" applyAlignment="1" applyProtection="1" pivotButton="0" quotePrefix="0" xfId="0">
      <alignment horizontal="center" vertical="center"/>
      <protection locked="0" hidden="0"/>
    </xf>
    <xf numFmtId="4" fontId="2" fillId="4" borderId="20" applyAlignment="1" pivotButton="0" quotePrefix="0" xfId="2">
      <alignment vertical="center"/>
    </xf>
    <xf numFmtId="0" fontId="0" fillId="5" borderId="0" applyProtection="1" pivotButton="0" quotePrefix="0" xfId="0">
      <protection locked="0" hidden="0"/>
    </xf>
    <xf numFmtId="0" fontId="0" fillId="5" borderId="0" applyAlignment="1" applyProtection="1" pivotButton="0" quotePrefix="0" xfId="0">
      <alignment vertical="top"/>
      <protection locked="0" hidden="0"/>
    </xf>
    <xf numFmtId="164" fontId="2" fillId="0" borderId="8" applyAlignment="1" applyProtection="1" pivotButton="0" quotePrefix="0" xfId="0">
      <alignment horizontal="left"/>
      <protection locked="0" hidden="0"/>
    </xf>
    <xf numFmtId="0" fontId="0" fillId="0" borderId="8" applyAlignment="1" applyProtection="1" pivotButton="0" quotePrefix="0" xfId="0">
      <alignment horizontal="center" vertical="center"/>
      <protection locked="0" hidden="0"/>
    </xf>
    <xf numFmtId="0" fontId="0" fillId="0" borderId="8" applyAlignment="1" applyProtection="1" pivotButton="0" quotePrefix="0" xfId="0">
      <alignment horizontal="left" vertical="center" wrapText="1"/>
      <protection locked="0" hidden="0"/>
    </xf>
    <xf numFmtId="0" fontId="0" fillId="0" borderId="8" applyAlignment="1" pivotButton="0" quotePrefix="0" xfId="0">
      <alignment horizontal="left" vertical="center" wrapText="1"/>
    </xf>
    <xf numFmtId="0" fontId="49" fillId="0" borderId="8" applyAlignment="1" applyProtection="1" pivotButton="0" quotePrefix="0" xfId="0">
      <alignment horizontal="center" vertical="center"/>
      <protection locked="0" hidden="0"/>
    </xf>
    <xf numFmtId="0" fontId="15" fillId="0" borderId="8" applyAlignment="1" applyProtection="1" pivotButton="0" quotePrefix="0" xfId="3">
      <alignment horizontal="center"/>
      <protection locked="0" hidden="0"/>
    </xf>
    <xf numFmtId="0" fontId="51" fillId="0" borderId="8" applyAlignment="1" applyProtection="1" pivotButton="0" quotePrefix="0" xfId="0">
      <alignment horizontal="center"/>
      <protection locked="0" hidden="0"/>
    </xf>
    <xf numFmtId="0" fontId="50" fillId="0" borderId="8" applyAlignment="1" applyProtection="1" pivotButton="0" quotePrefix="0" xfId="3">
      <alignment horizontal="center"/>
      <protection locked="0" hidden="0"/>
    </xf>
    <xf numFmtId="0" fontId="7" fillId="0" borderId="8" applyProtection="1" pivotButton="0" quotePrefix="0" xfId="0">
      <protection locked="0" hidden="0"/>
    </xf>
    <xf numFmtId="166" fontId="18" fillId="0" borderId="8"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0" fillId="0" borderId="8" applyProtection="1" pivotButton="0" quotePrefix="0" xfId="0">
      <protection locked="0" hidden="0"/>
    </xf>
    <xf numFmtId="0" fontId="0" fillId="0" borderId="8" applyAlignment="1" applyProtection="1" pivotButton="0" quotePrefix="0" xfId="0">
      <alignment vertical="center"/>
      <protection locked="0" hidden="0"/>
    </xf>
    <xf numFmtId="0" fontId="17" fillId="0" borderId="8" applyAlignment="1" applyProtection="1" pivotButton="0" quotePrefix="0" xfId="0">
      <alignment horizontal="center" vertical="center"/>
      <protection locked="0" hidden="0"/>
    </xf>
    <xf numFmtId="4" fontId="2" fillId="0" borderId="8" applyAlignment="1" applyProtection="1" pivotButton="0" quotePrefix="0" xfId="2">
      <alignment vertical="center"/>
      <protection locked="0" hidden="0"/>
    </xf>
    <xf numFmtId="4" fontId="2" fillId="0" borderId="8" applyAlignment="1" applyProtection="1" pivotButton="0" quotePrefix="0" xfId="2">
      <alignment vertical="top"/>
      <protection locked="0" hidden="0"/>
    </xf>
    <xf numFmtId="4" fontId="39" fillId="0" borderId="8" applyAlignment="1" applyProtection="1" pivotButton="0" quotePrefix="0" xfId="2">
      <alignment vertical="center"/>
      <protection locked="0" hidden="0"/>
    </xf>
    <xf numFmtId="4" fontId="2" fillId="0" borderId="8" applyAlignment="1" applyProtection="1" pivotButton="0" quotePrefix="0" xfId="1">
      <alignment horizontal="right"/>
      <protection locked="0" hidden="0"/>
    </xf>
    <xf numFmtId="10" fontId="2" fillId="0" borderId="8" applyAlignment="1" applyProtection="1" pivotButton="0" quotePrefix="0" xfId="1">
      <alignment horizontal="right"/>
      <protection locked="0" hidden="0"/>
    </xf>
    <xf numFmtId="4" fontId="3" fillId="0" borderId="8" applyAlignment="1" applyProtection="1" pivotButton="0" quotePrefix="0" xfId="1">
      <alignment horizontal="right"/>
      <protection locked="0" hidden="0"/>
    </xf>
    <xf numFmtId="168" fontId="3" fillId="0" borderId="8" applyProtection="1" pivotButton="0" quotePrefix="0" xfId="2">
      <protection locked="0" hidden="0"/>
    </xf>
    <xf numFmtId="0" fontId="26" fillId="0" borderId="8" applyAlignment="1" applyProtection="1" pivotButton="0" quotePrefix="0" xfId="0">
      <alignment horizontal="center"/>
      <protection locked="0" hidden="0"/>
    </xf>
    <xf numFmtId="0" fontId="0" fillId="0" borderId="8" applyAlignment="1" applyProtection="1" pivotButton="0" quotePrefix="0" xfId="0">
      <alignment horizontal="left" vertical="top" wrapText="1"/>
      <protection locked="0" hidden="0"/>
    </xf>
    <xf numFmtId="165" fontId="28" fillId="0" borderId="8" applyAlignment="1" applyProtection="1" pivotButton="0" quotePrefix="0" xfId="0">
      <alignment horizontal="center" vertical="center"/>
      <protection locked="0" hidden="0"/>
    </xf>
    <xf numFmtId="0" fontId="23" fillId="0" borderId="8" applyAlignment="1" applyProtection="1" pivotButton="0" quotePrefix="0" xfId="0">
      <alignment horizontal="center" vertical="center"/>
      <protection locked="0" hidden="0"/>
    </xf>
    <xf numFmtId="0" fontId="12" fillId="0" borderId="8" applyAlignment="1" applyProtection="1" pivotButton="0" quotePrefix="0" xfId="0">
      <alignment horizontal="center" vertical="top" wrapText="1"/>
      <protection locked="0" hidden="0"/>
    </xf>
    <xf numFmtId="0" fontId="3" fillId="0" borderId="8" applyAlignment="1" applyProtection="1" pivotButton="0" quotePrefix="0" xfId="0">
      <alignment horizontal="left" vertical="top" wrapText="1"/>
      <protection locked="0" hidden="0"/>
    </xf>
    <xf numFmtId="0" fontId="0" fillId="0" borderId="8" applyAlignment="1" applyProtection="1" pivotButton="0" quotePrefix="0" xfId="0">
      <alignment vertical="top"/>
      <protection locked="0" hidden="0"/>
    </xf>
    <xf numFmtId="0" fontId="0" fillId="0" borderId="8" applyAlignment="1" applyProtection="1" pivotButton="0" quotePrefix="0" xfId="0">
      <alignment vertical="top" wrapText="1"/>
      <protection locked="0" hidden="0"/>
    </xf>
    <xf numFmtId="0" fontId="0" fillId="0" borderId="8" applyAlignment="1" applyProtection="1" pivotButton="0" quotePrefix="0" xfId="0">
      <alignment horizontal="center" vertical="top" wrapText="1"/>
      <protection locked="0" hidden="0"/>
    </xf>
    <xf numFmtId="0" fontId="4" fillId="0" borderId="8" applyAlignment="1" applyProtection="1" pivotButton="0" quotePrefix="0" xfId="0">
      <alignment vertical="top" wrapText="1"/>
      <protection locked="0" hidden="0"/>
    </xf>
    <xf numFmtId="0" fontId="2" fillId="0" borderId="0" applyProtection="1" pivotButton="0" quotePrefix="0" xfId="0">
      <protection locked="0" hidden="0"/>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horizontal="left" vertical="center" wrapText="1"/>
    </xf>
    <xf numFmtId="0" fontId="0" fillId="0" borderId="0" applyAlignment="1" pivotButton="0" quotePrefix="0" xfId="0">
      <alignment horizontal="center" vertical="top" wrapText="1"/>
    </xf>
    <xf numFmtId="0" fontId="3" fillId="0" borderId="0" applyAlignment="1" pivotButton="0" quotePrefix="0" xfId="0">
      <alignment horizontal="left" vertical="top" wrapText="1"/>
    </xf>
    <xf numFmtId="0" fontId="42" fillId="0" borderId="0" applyAlignment="1" pivotButton="0" quotePrefix="0" xfId="0">
      <alignment horizontal="center" vertical="top" wrapText="1"/>
    </xf>
    <xf numFmtId="0" fontId="0" fillId="0" borderId="0" applyAlignment="1" pivotButton="0" quotePrefix="0" xfId="0">
      <alignment horizontal="left" vertical="top"/>
    </xf>
    <xf numFmtId="0" fontId="12" fillId="0" borderId="0" applyAlignment="1" pivotButton="0" quotePrefix="0" xfId="0">
      <alignment horizontal="center" vertical="top" wrapText="1"/>
    </xf>
    <xf numFmtId="49" fontId="10" fillId="0" borderId="0" applyAlignment="1" pivotButton="0" quotePrefix="0" xfId="0">
      <alignment horizontal="left" indent="2"/>
    </xf>
    <xf numFmtId="0" fontId="54" fillId="0" borderId="8" applyAlignment="1" pivotButton="0" quotePrefix="0" xfId="0">
      <alignment horizontal="center"/>
    </xf>
    <xf numFmtId="0" fontId="54" fillId="0" borderId="0" applyAlignment="1" pivotButton="0" quotePrefix="0" xfId="0">
      <alignment horizontal="center"/>
    </xf>
    <xf numFmtId="0" fontId="10" fillId="0" borderId="8" applyAlignment="1" pivotButton="0" quotePrefix="0" xfId="3">
      <alignment horizontal="center"/>
    </xf>
    <xf numFmtId="0" fontId="10" fillId="0" borderId="0" applyAlignment="1" pivotButton="0" quotePrefix="0" xfId="3">
      <alignment horizontal="center"/>
    </xf>
    <xf numFmtId="0" fontId="10" fillId="0" borderId="1" applyAlignment="1" applyProtection="1" pivotButton="0" quotePrefix="0" xfId="0">
      <alignment horizontal="left" vertical="top" wrapText="1"/>
      <protection locked="0" hidden="0"/>
    </xf>
    <xf numFmtId="0" fontId="10" fillId="0" borderId="8" applyAlignment="1" pivotButton="0" quotePrefix="0" xfId="0">
      <alignment horizontal="center"/>
    </xf>
    <xf numFmtId="0" fontId="10" fillId="0" borderId="0" applyAlignment="1" pivotButton="0" quotePrefix="0" xfId="0">
      <alignment horizontal="center"/>
    </xf>
    <xf numFmtId="0" fontId="0" fillId="0" borderId="0" applyAlignment="1" applyProtection="1" pivotButton="0" quotePrefix="0" xfId="0">
      <alignment horizontal="center"/>
      <protection locked="0" hidden="0"/>
    </xf>
    <xf numFmtId="164" fontId="55" fillId="0" borderId="0" applyAlignment="1" applyProtection="1" pivotButton="0" quotePrefix="0" xfId="0">
      <alignment horizontal="left"/>
      <protection locked="0" hidden="0"/>
    </xf>
    <xf numFmtId="0" fontId="25" fillId="0" borderId="1" applyAlignment="1" pivotButton="0" quotePrefix="0" xfId="0">
      <alignment horizontal="right" vertical="center" wrapText="1"/>
    </xf>
    <xf numFmtId="0" fontId="49" fillId="3" borderId="16" applyAlignment="1" applyProtection="1" pivotButton="0" quotePrefix="0" xfId="0">
      <alignment horizontal="center" vertical="center"/>
      <protection locked="0" hidden="0"/>
    </xf>
    <xf numFmtId="0" fontId="49" fillId="3" borderId="10" applyAlignment="1" applyProtection="1" pivotButton="0" quotePrefix="0" xfId="0">
      <alignment horizontal="center" vertical="center"/>
      <protection locked="0" hidden="0"/>
    </xf>
    <xf numFmtId="0" fontId="18" fillId="0" borderId="8" applyAlignment="1" pivotButton="0" quotePrefix="0" xfId="3">
      <alignment horizontal="center"/>
    </xf>
    <xf numFmtId="0" fontId="18" fillId="0" borderId="0" applyAlignment="1" pivotButton="0" quotePrefix="0" xfId="3">
      <alignment horizontal="center"/>
    </xf>
    <xf numFmtId="166" fontId="18" fillId="0" borderId="6" applyAlignment="1" pivotButton="0" quotePrefix="0" xfId="0">
      <alignment horizontal="center"/>
    </xf>
    <xf numFmtId="166" fontId="48" fillId="3" borderId="16" applyAlignment="1" applyProtection="1" pivotButton="0" quotePrefix="0" xfId="0">
      <alignment horizontal="left" vertical="center"/>
      <protection locked="0" hidden="0"/>
    </xf>
    <xf numFmtId="166" fontId="48" fillId="3" borderId="10" applyAlignment="1" applyProtection="1" pivotButton="0" quotePrefix="0" xfId="0">
      <alignment horizontal="left" vertical="center"/>
      <protection locked="0" hidden="0"/>
    </xf>
    <xf numFmtId="0" fontId="18" fillId="0" borderId="8" applyAlignment="1" pivotButton="0" quotePrefix="0" xfId="0">
      <alignment horizontal="center"/>
    </xf>
    <xf numFmtId="0" fontId="18" fillId="0" borderId="0" applyAlignment="1" pivotButton="0" quotePrefix="0" xfId="0">
      <alignment horizontal="center"/>
    </xf>
    <xf numFmtId="0" fontId="10" fillId="0" borderId="0" applyAlignment="1" pivotButton="0" quotePrefix="0" xfId="0">
      <alignment horizontal="left"/>
    </xf>
    <xf numFmtId="0" fontId="10" fillId="0" borderId="7" applyAlignment="1" pivotButton="0" quotePrefix="0" xfId="0">
      <alignment horizontal="center"/>
    </xf>
    <xf numFmtId="0" fontId="0" fillId="0" borderId="22" applyProtection="1" pivotButton="0" quotePrefix="0" xfId="0">
      <protection locked="0" hidden="0"/>
    </xf>
    <xf numFmtId="0" fontId="0" fillId="0" borderId="7" pivotButton="0" quotePrefix="0" xfId="0"/>
    <xf numFmtId="0" fontId="0" fillId="0" borderId="6" pivotButton="0" quotePrefix="0" xfId="0"/>
    <xf numFmtId="0" fontId="0" fillId="0" borderId="1" applyProtection="1" pivotButton="0" quotePrefix="0" xfId="0">
      <protection locked="0" hidden="0"/>
    </xf>
    <xf numFmtId="168" fontId="3" fillId="0" borderId="8" applyProtection="1" pivotButton="0" quotePrefix="0" xfId="2">
      <protection locked="0" hidden="0"/>
    </xf>
    <xf numFmtId="168" fontId="3" fillId="0" borderId="6" applyAlignment="1" applyProtection="1" pivotButton="0" quotePrefix="0" xfId="2">
      <alignment horizontal="right"/>
      <protection locked="0" hidden="0"/>
    </xf>
    <xf numFmtId="168" fontId="3" fillId="0" borderId="6" applyProtection="1" pivotButton="0" quotePrefix="0" xfId="2">
      <protection locked="0" hidden="0"/>
    </xf>
  </cellXfs>
  <cellStyles count="8">
    <cellStyle name="Normal" xfId="0" builtinId="0"/>
    <cellStyle name="Comma" xfId="1" builtinId="3"/>
    <cellStyle name="Currency" xfId="2" builtinId="4"/>
    <cellStyle name="Hyperlink" xfId="3" builtinId="8"/>
    <cellStyle name="Normal 2" xfId="4"/>
    <cellStyle name="Normal 3" xfId="5"/>
    <cellStyle name="Currency 2" xfId="6"/>
    <cellStyle name="Normal 4" xfId="7"/>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Nancy Punt</author>
  </authors>
  <commentList>
    <comment ref="D8" authorId="0" shapeId="0">
      <text>
        <t xml:space="preserve">            REVISED
once proposal has been sent out &amp; it needs to be revised. Copy sheet, mark the job# as A and if revised again B 
(example 2201 A)
once proposal is signed off it cannot be revised --now it needs a change order.
             Phases
more than one phase or several billings. can have As &amp; Bs
use Job # and the PH1 or PH2
(example 2201 PH1)
              Options
more than one option use Option 1, Option 2. Can have As &amp; Bs
(example 2201 Option 1)
         Several Clients 
after job # use abbreviated client name. can have As &amp; Bs
(example 22201 Yesco)
</t>
      </text>
    </comment>
    <comment ref="F28" authorId="0" shapeId="0">
      <text>
        <t xml:space="preserve">formula needed
</t>
      </text>
    </comment>
    <comment ref="F29" authorId="0" shapeId="0">
      <text>
        <t xml:space="preserve">formula needed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boydsignsystems.com/"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8">
    <tabColor theme="3" tint="-0.249977111117893"/>
    <outlinePr summaryBelow="1" summaryRight="1"/>
    <pageSetUpPr/>
  </sheetPr>
  <dimension ref="A1:I490"/>
  <sheetViews>
    <sheetView showGridLines="0" tabSelected="1" topLeftCell="A12" zoomScaleNormal="100" workbookViewId="0">
      <selection activeCell="C47" sqref="C47"/>
    </sheetView>
  </sheetViews>
  <sheetFormatPr baseColWidth="8" defaultColWidth="9.140625" defaultRowHeight="12.75"/>
  <cols>
    <col width="4.42578125" customWidth="1" style="7" min="1" max="1"/>
    <col width="18.7109375" customWidth="1" style="1" min="2" max="2"/>
    <col width="50.7109375" customWidth="1" style="1" min="3" max="3"/>
    <col width="8.85546875" customWidth="1" style="1" min="4" max="4"/>
    <col width="11" customWidth="1" style="1" min="5" max="5"/>
    <col width="14.42578125" customWidth="1" style="1" min="6" max="6"/>
    <col width="5.140625" customWidth="1" style="1" min="7" max="7"/>
    <col width="11.140625" customWidth="1" style="1" min="8" max="8"/>
    <col width="7.5703125" customWidth="1" style="1" min="9" max="9"/>
    <col width="5.140625" customWidth="1" style="1" min="10" max="10"/>
    <col width="58" customWidth="1" style="1" min="11" max="11"/>
    <col width="10.5703125" customWidth="1" style="1" min="12" max="12"/>
    <col width="12.85546875" customWidth="1" style="1" min="13" max="13"/>
    <col width="2.7109375" customWidth="1" style="1" min="14" max="14"/>
    <col width="10.5703125" customWidth="1" style="1" min="15" max="15"/>
    <col width="12.85546875" customWidth="1" style="1" min="16" max="16"/>
    <col width="2.7109375" customWidth="1" style="1" min="17" max="17"/>
    <col width="10.5703125" customWidth="1" style="1" min="18" max="18"/>
    <col width="12.85546875" customWidth="1" style="1" min="19" max="19"/>
    <col width="2.7109375" customWidth="1" style="1" min="20" max="20"/>
    <col width="8.85546875" customWidth="1" style="1" min="21" max="29"/>
    <col width="9.140625" customWidth="1" style="1" min="30" max="16384"/>
  </cols>
  <sheetData>
    <row r="1" ht="20.25" customHeight="1">
      <c r="A1" s="163" t="e">
        <v>#VALUE!</v>
      </c>
      <c r="B1" s="1" t="n"/>
      <c r="C1" s="1" t="n"/>
      <c r="D1" s="1" t="n"/>
      <c r="E1" s="1" t="n"/>
      <c r="F1" s="1" t="n"/>
      <c r="G1" s="114" t="n"/>
    </row>
    <row r="2" ht="12.6" customHeight="1">
      <c r="A2" s="1" t="n"/>
      <c r="B2" s="1" t="n"/>
      <c r="C2" s="1" t="n"/>
      <c r="D2" s="1" t="n"/>
      <c r="E2" s="1" t="n"/>
      <c r="F2" s="1" t="n"/>
      <c r="G2" s="114" t="n"/>
    </row>
    <row r="3" ht="17.1" customHeight="1">
      <c r="A3" s="1" t="n"/>
      <c r="B3" s="1" t="n"/>
      <c r="C3" s="1" t="n"/>
      <c r="D3" s="1" t="n"/>
      <c r="E3" s="1" t="n"/>
      <c r="F3" s="1" t="n"/>
      <c r="G3" s="114" t="n"/>
    </row>
    <row r="4" ht="12.2" customHeight="1">
      <c r="A4" s="1" t="n"/>
      <c r="B4" s="1" t="n"/>
      <c r="C4" s="1" t="n"/>
      <c r="D4" s="1" t="n"/>
      <c r="E4" s="1" t="n"/>
      <c r="F4" s="1" t="n"/>
      <c r="G4" s="114" t="n"/>
    </row>
    <row r="5" ht="15" customHeight="1">
      <c r="B5" s="48" t="inlineStr">
        <is>
          <t xml:space="preserve">          www.BOYDSIGNSYSTEMS.com                                                                     </t>
        </is>
      </c>
      <c r="C5" s="49" t="n"/>
      <c r="D5" s="23" t="inlineStr">
        <is>
          <t>Date:</t>
        </is>
      </c>
      <c r="E5" s="164" t="n"/>
      <c r="F5" s="1" t="n"/>
      <c r="G5" s="114" t="n"/>
    </row>
    <row r="6" ht="11.45" customHeight="1">
      <c r="C6" s="55" t="n"/>
      <c r="D6" s="50" t="n"/>
      <c r="E6" s="50" t="n"/>
      <c r="F6" s="50" t="n"/>
      <c r="G6" s="115" t="n"/>
    </row>
    <row r="7" ht="12.2" customHeight="1">
      <c r="B7" s="51" t="n"/>
      <c r="C7" s="61" t="n"/>
      <c r="D7" s="20" t="n"/>
      <c r="E7" s="33" t="n"/>
      <c r="F7" s="37" t="n"/>
      <c r="G7" s="114" t="n"/>
    </row>
    <row r="8" ht="18.75" customHeight="1">
      <c r="A8" s="62" t="n"/>
      <c r="B8" s="63" t="inlineStr">
        <is>
          <t xml:space="preserve">                                                                                                                             BSS Job#                                        </t>
        </is>
      </c>
      <c r="C8" s="63" t="n"/>
      <c r="D8" s="165" t="n"/>
      <c r="E8" s="3" t="n"/>
      <c r="F8" s="96" t="n"/>
      <c r="G8" s="116" t="n"/>
    </row>
    <row r="9" ht="18.75" customHeight="1">
      <c r="A9" s="4" t="n"/>
      <c r="B9" s="5" t="n"/>
      <c r="C9" s="5" t="n"/>
      <c r="D9" s="98" t="n"/>
      <c r="E9" s="98" t="n"/>
      <c r="F9" s="97" t="n"/>
      <c r="G9" s="117" t="n"/>
      <c r="H9" s="1" t="n"/>
    </row>
    <row r="10" ht="15.75" customFormat="1" customHeight="1" s="8">
      <c r="A10" s="171" t="inlineStr">
        <is>
          <t>Sign Location</t>
        </is>
      </c>
      <c r="B10" s="177" t="n"/>
      <c r="C10" s="64" t="inlineStr">
        <is>
          <t>Ship to</t>
        </is>
      </c>
      <c r="D10" s="166" t="inlineStr">
        <is>
          <t>Sold to</t>
        </is>
      </c>
      <c r="E10" s="177" t="n"/>
      <c r="F10" s="177" t="n"/>
      <c r="G10" s="118" t="n"/>
    </row>
    <row r="11" ht="14.25" customFormat="1" customHeight="1" s="8">
      <c r="A11" s="173" t="n"/>
      <c r="C11" s="21" t="n"/>
      <c r="D11" s="168" t="n"/>
      <c r="G11" s="119" t="n"/>
    </row>
    <row r="12" ht="14.25" customFormat="1" customHeight="1" s="8">
      <c r="A12" s="93" t="n"/>
      <c r="B12" s="178" t="n"/>
      <c r="C12" s="161" t="n"/>
      <c r="D12" s="156" t="n"/>
      <c r="G12" s="120" t="n"/>
    </row>
    <row r="13" ht="14.25" customFormat="1" customHeight="1" s="8">
      <c r="A13" s="161" t="n"/>
      <c r="C13" s="92" t="n"/>
      <c r="D13" s="156" t="n"/>
      <c r="G13" s="120" t="n"/>
    </row>
    <row r="14" ht="14.25" customFormat="1" customHeight="1" s="8">
      <c r="A14" s="161" t="n"/>
      <c r="C14" s="92" t="n"/>
      <c r="D14" s="158" t="n"/>
      <c r="G14" s="119" t="n"/>
    </row>
    <row r="15" ht="14.25" customFormat="1" customHeight="1" s="8">
      <c r="A15" s="161" t="n"/>
      <c r="C15" s="93" t="n"/>
      <c r="D15" s="158" t="n"/>
      <c r="G15" s="119" t="n"/>
    </row>
    <row r="16" ht="14.25" customFormat="1" customHeight="1" s="8">
      <c r="A16" s="161" t="n"/>
      <c r="C16" s="161" t="n"/>
      <c r="D16" s="156" t="n"/>
      <c r="G16" s="121" t="n"/>
    </row>
    <row r="17" ht="14.25" customFormat="1" customHeight="1" s="8">
      <c r="A17" s="161" t="n"/>
      <c r="C17" s="94" t="n"/>
      <c r="D17" s="156" t="n"/>
      <c r="G17" s="121" t="n"/>
    </row>
    <row r="18" ht="12.75" customHeight="1">
      <c r="A18" s="52" t="n"/>
      <c r="B18" s="2" t="n"/>
      <c r="C18" s="2" t="n"/>
      <c r="D18" s="53" t="n"/>
      <c r="E18" s="53" t="n"/>
      <c r="F18" s="108" t="n"/>
      <c r="G18" s="122" t="n"/>
    </row>
    <row r="19" ht="14.25" customFormat="1" customHeight="1" s="8">
      <c r="A19" s="54" t="n"/>
      <c r="B19" s="170" t="n"/>
      <c r="C19" s="179" t="n"/>
      <c r="D19" s="179" t="n"/>
      <c r="E19" s="179" t="n"/>
      <c r="F19" s="179" t="n"/>
      <c r="G19" s="123" t="n"/>
    </row>
    <row r="20" ht="4.7" customHeight="1">
      <c r="A20" s="24" t="n"/>
      <c r="B20" s="24" t="n"/>
      <c r="C20" s="24" t="n"/>
      <c r="D20" s="24" t="n"/>
      <c r="E20" s="24" t="n"/>
      <c r="F20" s="24" t="n"/>
      <c r="G20" s="124" t="n"/>
    </row>
    <row r="21" ht="14.45" customFormat="1" customHeight="1" s="9">
      <c r="A21" s="65" t="inlineStr">
        <is>
          <t xml:space="preserve">      Boyd Sign Systems' Contacts                                          </t>
        </is>
      </c>
      <c r="B21" s="65" t="n"/>
      <c r="C21" s="1" t="n"/>
      <c r="D21" s="1" t="n"/>
      <c r="E21" s="66" t="n"/>
      <c r="F21" s="56" t="n"/>
      <c r="G21" s="125" t="n"/>
    </row>
    <row r="22" ht="11.45" customHeight="1">
      <c r="A22" s="155" t="inlineStr">
        <is>
          <t>Sales Rep:</t>
        </is>
      </c>
      <c r="C22" s="175" t="n"/>
      <c r="G22" s="126" t="n"/>
    </row>
    <row r="23" ht="11.45" customHeight="1">
      <c r="A23" s="155" t="inlineStr">
        <is>
          <t>Project Manager:</t>
        </is>
      </c>
      <c r="C23" s="175" t="n"/>
      <c r="G23" s="126" t="n"/>
    </row>
    <row r="24" ht="9" customHeight="1">
      <c r="B24" s="25" t="n"/>
      <c r="G24" s="126" t="n"/>
    </row>
    <row r="25" ht="19.5" customHeight="1">
      <c r="A25" s="67" t="inlineStr">
        <is>
          <t>Project Overview:</t>
        </is>
      </c>
      <c r="B25" s="57" t="n"/>
      <c r="C25" s="160" t="n"/>
      <c r="D25" s="180" t="n"/>
      <c r="E25" s="180" t="n"/>
      <c r="F25" s="180" t="n"/>
      <c r="G25" s="127" t="n"/>
    </row>
    <row r="26" ht="24.75" customFormat="1" customHeight="1" s="10">
      <c r="A26" s="27" t="inlineStr">
        <is>
          <t>Item</t>
        </is>
      </c>
      <c r="B26" s="28" t="inlineStr">
        <is>
          <t>Sign Type</t>
        </is>
      </c>
      <c r="C26" s="29" t="inlineStr">
        <is>
          <t>Description</t>
        </is>
      </c>
      <c r="D26" s="29" t="inlineStr">
        <is>
          <t>Qty</t>
        </is>
      </c>
      <c r="E26" s="30" t="inlineStr">
        <is>
          <t>Unit  Price</t>
        </is>
      </c>
      <c r="F26" s="109" t="inlineStr">
        <is>
          <t>Total</t>
        </is>
      </c>
      <c r="G26" s="128" t="n"/>
    </row>
    <row r="27" ht="1.5" customFormat="1" customHeight="1" s="10">
      <c r="A27" s="58" t="n">
        <v>0</v>
      </c>
      <c r="B27" s="59" t="n"/>
      <c r="C27" s="31" t="n"/>
      <c r="D27" s="60" t="n"/>
      <c r="E27" s="59" t="n"/>
      <c r="F27" s="110" t="n"/>
      <c r="G27" s="128" t="n"/>
    </row>
    <row r="28">
      <c r="A28" s="85">
        <f>+A27+1</f>
        <v/>
      </c>
      <c r="B28" s="86" t="n"/>
      <c r="C28" s="87" t="n"/>
      <c r="D28" s="88" t="n"/>
      <c r="E28" s="89" t="n"/>
      <c r="F28" s="111">
        <f>IF(D28&lt;&gt;"",D28*E28," ")</f>
        <v/>
      </c>
      <c r="G28" s="129" t="n"/>
    </row>
    <row r="29">
      <c r="A29" s="85">
        <f>+A28+1</f>
        <v/>
      </c>
      <c r="B29" s="101" t="n"/>
      <c r="C29" s="102" t="n"/>
      <c r="D29" s="88" t="n"/>
      <c r="E29" s="103" t="n"/>
      <c r="F29" s="111">
        <f>IF(D29&lt;&gt;"",D29*E29," ")</f>
        <v/>
      </c>
      <c r="G29" s="129" t="n"/>
    </row>
    <row r="30">
      <c r="A30" s="85">
        <f>+A29+1</f>
        <v/>
      </c>
      <c r="B30" s="101" t="n"/>
      <c r="C30" s="102" t="n"/>
      <c r="D30" s="88" t="n"/>
      <c r="E30" s="103" t="n"/>
      <c r="F30" s="111">
        <f>IF(D30&lt;&gt;"",D30*E30," ")</f>
        <v/>
      </c>
      <c r="G30" s="129" t="n"/>
    </row>
    <row r="31">
      <c r="A31" s="85">
        <f>+A30+1</f>
        <v/>
      </c>
      <c r="B31" s="101" t="n"/>
      <c r="C31" s="102" t="n"/>
      <c r="D31" s="88" t="n"/>
      <c r="E31" s="103" t="n"/>
      <c r="F31" s="111">
        <f>IF(D31&lt;&gt;"",D31*E31," ")</f>
        <v/>
      </c>
      <c r="G31" s="129" t="n"/>
    </row>
    <row r="32">
      <c r="A32" s="85">
        <f>+A31+1</f>
        <v/>
      </c>
      <c r="B32" s="101" t="n"/>
      <c r="C32" s="102" t="n"/>
      <c r="D32" s="88" t="n"/>
      <c r="E32" s="103" t="n"/>
      <c r="F32" s="111">
        <f>IF(D32&lt;&gt;"",D32*E32," ")</f>
        <v/>
      </c>
      <c r="G32" s="129" t="n"/>
    </row>
    <row r="33">
      <c r="A33" s="85">
        <f>+A32+1</f>
        <v/>
      </c>
      <c r="B33" s="101" t="n"/>
      <c r="C33" s="102" t="n"/>
      <c r="D33" s="88" t="n"/>
      <c r="E33" s="103" t="n"/>
      <c r="F33" s="111">
        <f>IF(D33&lt;&gt;"",D33*E33," ")</f>
        <v/>
      </c>
      <c r="G33" s="129" t="n"/>
    </row>
    <row r="34">
      <c r="A34" s="85">
        <f>+A33+1</f>
        <v/>
      </c>
      <c r="B34" s="101" t="n"/>
      <c r="C34" s="102" t="n"/>
      <c r="D34" s="88" t="n"/>
      <c r="E34" s="103" t="n"/>
      <c r="F34" s="111">
        <f>IF(D34&lt;&gt;"",D34*E34," ")</f>
        <v/>
      </c>
      <c r="G34" s="129" t="n"/>
    </row>
    <row r="35">
      <c r="A35" s="85">
        <f>+A34+1</f>
        <v/>
      </c>
      <c r="B35" s="101" t="n"/>
      <c r="C35" s="102" t="n"/>
      <c r="D35" s="88" t="n"/>
      <c r="E35" s="103" t="n"/>
      <c r="F35" s="111">
        <f>IF(D35&lt;&gt;"",D35*E35," ")</f>
        <v/>
      </c>
      <c r="G35" s="129" t="n"/>
    </row>
    <row r="36">
      <c r="A36" s="85">
        <f>+A35+1</f>
        <v/>
      </c>
      <c r="B36" s="101" t="n"/>
      <c r="C36" s="102" t="n"/>
      <c r="D36" s="88" t="n"/>
      <c r="E36" s="103" t="n"/>
      <c r="F36" s="111">
        <f>IF(D36&lt;&gt;"",D36*E36," ")</f>
        <v/>
      </c>
      <c r="G36" s="129" t="n"/>
    </row>
    <row r="37">
      <c r="A37" s="85">
        <f>+A36+1</f>
        <v/>
      </c>
      <c r="B37" s="101" t="n"/>
      <c r="C37" s="102" t="n"/>
      <c r="D37" s="88" t="n"/>
      <c r="E37" s="103" t="n"/>
      <c r="F37" s="111">
        <f>IF(D37&lt;&gt;"",D37*E37," ")</f>
        <v/>
      </c>
      <c r="G37" s="129" t="n"/>
    </row>
    <row r="38">
      <c r="A38" s="85">
        <f>+A37+1</f>
        <v/>
      </c>
      <c r="B38" s="101" t="n"/>
      <c r="C38" s="102" t="n"/>
      <c r="D38" s="88" t="n"/>
      <c r="E38" s="103" t="n"/>
      <c r="F38" s="111">
        <f>IF(D38&lt;&gt;"",D38*E38," ")</f>
        <v/>
      </c>
      <c r="G38" s="130" t="n"/>
    </row>
    <row r="39">
      <c r="A39" s="85">
        <f>+A38+1</f>
        <v/>
      </c>
      <c r="B39" s="101" t="n"/>
      <c r="C39" s="102" t="n"/>
      <c r="D39" s="88" t="n"/>
      <c r="E39" s="103" t="n"/>
      <c r="F39" s="111">
        <f>IF(D39&lt;&gt;"",D39*E39," ")</f>
        <v/>
      </c>
      <c r="G39" s="130" t="n"/>
    </row>
    <row r="40" ht="24.75" customHeight="1" thickBot="1">
      <c r="A40" s="85">
        <f>+A39+1</f>
        <v/>
      </c>
      <c r="B40" s="101" t="n"/>
      <c r="C40" s="102" t="n"/>
      <c r="D40" s="88" t="n"/>
      <c r="E40" s="103" t="n"/>
      <c r="F40" s="111">
        <f>IF(D40&lt;&gt;"",D40*E40," ")</f>
        <v/>
      </c>
      <c r="G40" s="129" t="n"/>
    </row>
    <row r="41" ht="12.75" customHeight="1">
      <c r="A41" s="85">
        <f>+A40+1</f>
        <v/>
      </c>
      <c r="B41" s="101" t="n"/>
      <c r="C41" s="102" t="n"/>
      <c r="D41" s="88" t="n"/>
      <c r="E41" s="103" t="n"/>
      <c r="F41" s="111">
        <f>IF(D41&lt;&gt;"",D41*E41," ")</f>
        <v/>
      </c>
      <c r="G41" s="131" t="n"/>
    </row>
    <row r="42" ht="12.75" customHeight="1">
      <c r="A42" s="85">
        <f>+A41+1</f>
        <v/>
      </c>
      <c r="B42" s="101" t="n"/>
      <c r="C42" s="102" t="n"/>
      <c r="D42" s="88" t="n"/>
      <c r="E42" s="103" t="n"/>
      <c r="F42" s="111">
        <f>IF(D42&lt;&gt;"",D42*E42," ")</f>
        <v/>
      </c>
      <c r="G42" s="132" t="n"/>
    </row>
    <row r="43" ht="12.75" customHeight="1">
      <c r="A43" s="85">
        <f>+A42+1</f>
        <v/>
      </c>
      <c r="B43" s="101" t="n"/>
      <c r="C43" s="102" t="n"/>
      <c r="D43" s="88" t="n"/>
      <c r="E43" s="103" t="n"/>
      <c r="F43" s="111">
        <f>IF(D43&lt;&gt;"",D43*E43," ")</f>
        <v/>
      </c>
      <c r="G43" s="132" t="n"/>
    </row>
    <row r="44" ht="12.75" customHeight="1">
      <c r="A44" s="85">
        <f>+A43+1</f>
        <v/>
      </c>
      <c r="B44" s="101" t="n"/>
      <c r="C44" s="102" t="n"/>
      <c r="D44" s="88" t="n"/>
      <c r="E44" s="103" t="n"/>
      <c r="F44" s="111">
        <f>IF(D44&lt;&gt;"",D44*E44," ")</f>
        <v/>
      </c>
      <c r="G44" s="133" t="n"/>
      <c r="H44" s="146" t="n"/>
      <c r="I44" s="146" t="n"/>
    </row>
    <row r="45" ht="12.75" customHeight="1">
      <c r="A45" s="85">
        <f>+A44+1</f>
        <v/>
      </c>
      <c r="B45" s="101" t="n"/>
      <c r="C45" s="102" t="n"/>
      <c r="D45" s="88" t="n"/>
      <c r="E45" s="103" t="n"/>
      <c r="F45" s="111">
        <f>IF(D45&lt;&gt;"",D45*E45," ")</f>
        <v/>
      </c>
      <c r="G45" s="132" t="n"/>
    </row>
    <row r="46" ht="12.75" customHeight="1">
      <c r="A46" s="85">
        <f>+A45+1</f>
        <v/>
      </c>
      <c r="B46" s="101" t="n"/>
      <c r="C46" s="102" t="n"/>
      <c r="D46" s="88" t="n"/>
      <c r="E46" s="103" t="n"/>
      <c r="F46" s="111">
        <f>IF(D46&lt;&gt;"",D46*E46," ")</f>
        <v/>
      </c>
      <c r="G46" s="132" t="n"/>
    </row>
    <row r="47" ht="15.75" customHeight="1" thickBot="1">
      <c r="A47" s="85">
        <f>+A46+1</f>
        <v/>
      </c>
      <c r="B47" s="101" t="n"/>
      <c r="C47" s="102" t="n"/>
      <c r="D47" s="88" t="n"/>
      <c r="E47" s="103" t="n"/>
      <c r="F47" s="111">
        <f>IF(D47&lt;&gt;"",D47*E47," ")</f>
        <v/>
      </c>
      <c r="G47" s="134" t="n"/>
    </row>
    <row r="48" ht="14.25" customHeight="1">
      <c r="A48" s="90" t="n"/>
      <c r="B48" s="80" t="n"/>
      <c r="C48" s="81" t="n"/>
      <c r="D48" s="82" t="n"/>
      <c r="E48" s="83" t="inlineStr">
        <is>
          <t>Subtotal</t>
        </is>
      </c>
      <c r="F48" s="84">
        <f>SUM(F28:F47)</f>
        <v/>
      </c>
      <c r="G48" s="181" t="n"/>
    </row>
    <row r="49" ht="16.15" customHeight="1">
      <c r="A49" s="38" t="n"/>
      <c r="B49" s="71" t="n"/>
      <c r="C49" s="72" t="n"/>
      <c r="E49" s="39" t="inlineStr">
        <is>
          <t>Shipping &amp; Crating</t>
        </is>
      </c>
      <c r="F49" s="77" t="n"/>
      <c r="G49" s="136" t="n"/>
    </row>
    <row r="50" ht="12" customHeight="1">
      <c r="A50" s="38" t="n"/>
      <c r="B50" s="71" t="n"/>
      <c r="C50" s="72" t="n"/>
      <c r="E50" s="11" t="inlineStr">
        <is>
          <t>Other Services</t>
        </is>
      </c>
      <c r="F50" s="77" t="n">
        <v>0</v>
      </c>
      <c r="G50" s="126" t="n"/>
    </row>
    <row r="51" ht="12.75" customFormat="1" customHeight="1" s="18">
      <c r="A51" s="38" t="n"/>
      <c r="B51" s="71" t="n"/>
      <c r="C51" s="73" t="n"/>
      <c r="D51" s="12" t="n"/>
      <c r="E51" s="13" t="inlineStr">
        <is>
          <t>Client Responsible for Taxes-</t>
        </is>
      </c>
      <c r="F51" s="100" t="n">
        <v>0</v>
      </c>
      <c r="G51" s="137" t="n"/>
    </row>
    <row r="52" ht="15" customHeight="1">
      <c r="A52" s="36" t="n"/>
      <c r="B52" s="71" t="n"/>
      <c r="C52" s="74" t="n"/>
      <c r="D52" s="12" t="n"/>
      <c r="E52" s="13" t="inlineStr">
        <is>
          <t xml:space="preserve"> Tax</t>
        </is>
      </c>
      <c r="F52" s="99" t="n">
        <v>0</v>
      </c>
      <c r="G52" s="126" t="n"/>
    </row>
    <row r="53" ht="18" customHeight="1" thickBot="1">
      <c r="A53" s="4" t="n"/>
      <c r="B53" s="34" t="n"/>
      <c r="C53" s="35" t="n"/>
      <c r="E53" s="14" t="inlineStr">
        <is>
          <t>Installation</t>
        </is>
      </c>
      <c r="F53" s="78" t="n"/>
      <c r="G53" s="137" t="n"/>
    </row>
    <row r="54" ht="15.75" customHeight="1">
      <c r="A54" s="38" t="n"/>
      <c r="B54" s="26" t="n"/>
      <c r="C54" s="15" t="n"/>
      <c r="D54" s="16" t="n"/>
      <c r="E54" s="17" t="inlineStr">
        <is>
          <t>Grand Total</t>
        </is>
      </c>
      <c r="F54" s="75">
        <f>+F53+F52+F49+F48+F50</f>
        <v/>
      </c>
      <c r="G54" s="126" t="n"/>
    </row>
    <row r="55" ht="5.25" customHeight="1">
      <c r="A55" s="104" t="n"/>
      <c r="B55" s="105" t="n"/>
      <c r="C55" s="105" t="n"/>
      <c r="D55" s="105" t="n"/>
      <c r="E55" s="182" t="n"/>
      <c r="F55" s="183" t="n"/>
      <c r="G55" s="138" t="n"/>
    </row>
    <row r="56" ht="15" customHeight="1">
      <c r="A56" s="95" t="inlineStr">
        <is>
          <t>Terms and Conditions</t>
        </is>
      </c>
      <c r="B56" s="95" t="n"/>
      <c r="C56" s="95" t="n"/>
      <c r="D56" s="95" t="n"/>
      <c r="E56" s="95" t="n"/>
      <c r="F56" s="95" t="n"/>
      <c r="G56" s="139" t="n"/>
    </row>
    <row r="57" ht="15.75" customHeight="1">
      <c r="A57" s="4" t="n"/>
      <c r="G57" s="139" t="n"/>
    </row>
    <row r="58" ht="28.5" customHeight="1">
      <c r="A58" s="40" t="inlineStr">
        <is>
          <t>1.</t>
        </is>
      </c>
      <c r="B58" s="148" t="inlineStr">
        <is>
          <t>All prices are FOB Origin.  Shipping is quoted using standard ground services and in one delivery.  If an expedited and/or split-shipping method is requested a change order will be required, and additional charges will apply.</t>
        </is>
      </c>
      <c r="G58" s="126" t="n"/>
    </row>
    <row r="59" ht="2.25" customHeight="1">
      <c r="A59" s="40" t="n"/>
      <c r="B59" s="40" t="n"/>
      <c r="C59" s="148" t="n"/>
      <c r="D59" s="148" t="n"/>
      <c r="E59" s="148" t="n"/>
      <c r="G59" s="137" t="n"/>
    </row>
    <row r="60" ht="31.5" customHeight="1">
      <c r="A60" s="40" t="inlineStr">
        <is>
          <t>2.</t>
        </is>
      </c>
      <c r="B60" s="148" t="inlineStr">
        <is>
          <t>Prices are effective for 20 days from the date of this proposal.                                                                                                This proposal may be withdrawn if not executed within this time.</t>
        </is>
      </c>
      <c r="G60" s="126" t="n"/>
    </row>
    <row r="61" ht="2.25" customHeight="1">
      <c r="A61" s="40" t="n"/>
      <c r="B61" s="40" t="n"/>
      <c r="C61" s="148" t="n"/>
      <c r="D61" s="148" t="n"/>
      <c r="E61" s="148" t="n"/>
      <c r="G61" s="140" t="n"/>
    </row>
    <row r="62" ht="13.5" customHeight="1">
      <c r="A62" s="40" t="inlineStr">
        <is>
          <t>3.</t>
        </is>
      </c>
      <c r="B62" s="153" t="inlineStr">
        <is>
          <t xml:space="preserve"> Deposit / Down Payment Information.               The deposit for this proposal is:</t>
        </is>
      </c>
      <c r="D62" s="79" t="n">
        <v>0.5</v>
      </c>
      <c r="E62" s="41" t="inlineStr">
        <is>
          <t>of order</t>
        </is>
      </c>
      <c r="F62" s="42">
        <f>+F54*D62</f>
        <v/>
      </c>
      <c r="G62" s="140" t="n"/>
    </row>
    <row r="63" ht="3" customHeight="1">
      <c r="A63" s="40" t="n"/>
      <c r="B63" s="40" t="n"/>
      <c r="C63" s="153" t="n"/>
      <c r="D63" s="43" t="n"/>
      <c r="E63" s="44" t="n"/>
      <c r="F63" s="45" t="n"/>
      <c r="G63" s="126" t="n"/>
    </row>
    <row r="64" ht="15" customHeight="1">
      <c r="A64" s="40" t="n"/>
      <c r="B64" s="152" t="inlineStr">
        <is>
          <t>All drawings must be signed-off and the deposit received before work will be sent to production.</t>
        </is>
      </c>
      <c r="F64" s="45" t="n"/>
      <c r="G64" s="137" t="n"/>
    </row>
    <row r="65" ht="8.449999999999999" customHeight="1">
      <c r="A65" s="40" t="n"/>
      <c r="B65" s="40" t="n"/>
      <c r="C65" s="148" t="n"/>
      <c r="D65" s="148" t="n"/>
      <c r="E65" s="148" t="n"/>
      <c r="G65" s="126" t="n"/>
    </row>
    <row r="66" ht="15" customHeight="1">
      <c r="A66" s="40" t="inlineStr">
        <is>
          <t>4.</t>
        </is>
      </c>
      <c r="B66" s="148" t="inlineStr">
        <is>
          <t>Balance due upon delivery of order.</t>
        </is>
      </c>
      <c r="G66" s="141" t="n"/>
    </row>
    <row r="67" ht="8.449999999999999" customHeight="1">
      <c r="A67" s="40" t="n"/>
      <c r="B67" s="40" t="n"/>
      <c r="C67" s="148" t="n"/>
      <c r="D67" s="148" t="n"/>
      <c r="E67" s="148" t="n"/>
      <c r="G67" s="126" t="n"/>
    </row>
    <row r="68" ht="70.5" customHeight="1">
      <c r="A68" s="40" t="inlineStr">
        <is>
          <t>5.</t>
        </is>
      </c>
      <c r="B68" s="154" t="inlineStr">
        <is>
          <t xml:space="preserve">Taxes. Customer is responsible for all taxes.  If not billed on original invoice, taxes may be billed separately at a future date.  The amount of taxes invoiced will be the actual amount computed based on FOB Origin or FOB Destination for customer's ship to location, which may be different than those shown on this proposal.  If this proposal is being used for budgetary purposes, customer may wish to compute taxes based upon their knowledge of their own tax locations.   </t>
        </is>
      </c>
      <c r="G68" s="137" t="n"/>
    </row>
    <row r="69" ht="31.5" customHeight="1">
      <c r="A69" s="40" t="n"/>
      <c r="B69" s="154" t="inlineStr">
        <is>
          <t>If customer is tax exempt or holds a resale license, customer is responsible for providing their tax-exempt or resale certificate to Boyd Sign Systems: otherwise invoicing will include taxes.</t>
        </is>
      </c>
      <c r="G69" s="126" t="n"/>
    </row>
    <row r="70" ht="4.5" customHeight="1">
      <c r="A70" s="40" t="n"/>
      <c r="B70" s="40" t="n"/>
      <c r="C70" s="153" t="n"/>
      <c r="D70" s="153" t="n"/>
      <c r="E70" s="153" t="n"/>
      <c r="G70" s="137" t="n"/>
    </row>
    <row r="71" ht="27" customHeight="1">
      <c r="A71" s="40" t="inlineStr">
        <is>
          <t>6.</t>
        </is>
      </c>
      <c r="B71" s="148" t="inlineStr">
        <is>
          <t>All amounts not paid when due according to the terms herein, including interest, shall bear interest at the highest rate allowed by law from the date payment was due until paid.</t>
        </is>
      </c>
      <c r="G71" s="126" t="n"/>
    </row>
    <row r="72" ht="4.5" customHeight="1">
      <c r="A72" s="40" t="n"/>
      <c r="B72" s="40" t="n"/>
      <c r="C72" s="148" t="n"/>
      <c r="D72" s="148" t="n"/>
      <c r="E72" s="148" t="n"/>
      <c r="G72" s="137" t="n"/>
    </row>
    <row r="73" ht="39" customHeight="1">
      <c r="A73" s="40" t="inlineStr">
        <is>
          <t>7.</t>
        </is>
      </c>
      <c r="B73" s="151" t="inlineStr">
        <is>
          <t>Boyd Sign Systems has a minimum order amount of $250.  Boyd Sign Systems will honor the unit price of the product or system for ninety (90) days from the final ship date of said product or system as long as the total amount of the order meets the $250 minimum.</t>
        </is>
      </c>
      <c r="G73" s="126" t="n"/>
    </row>
    <row r="74" ht="6" customHeight="1">
      <c r="A74" s="40" t="n"/>
      <c r="B74" s="40" t="n"/>
      <c r="C74" s="151" t="n"/>
      <c r="D74" s="151" t="n"/>
      <c r="E74" s="151" t="n"/>
      <c r="G74" s="137" t="n"/>
    </row>
    <row r="75" ht="30" customHeight="1">
      <c r="A75" s="40" t="inlineStr">
        <is>
          <t>8.</t>
        </is>
      </c>
      <c r="B75" s="148" t="inlineStr">
        <is>
          <t>After ninety (90) days from the final ship date, unit prices will be adjusted to reflect the fair market value of manufacturing the signs in reduced quantities versus the efficiencies that are gained in larger production runs.</t>
        </is>
      </c>
      <c r="G75" s="126" t="n"/>
    </row>
    <row r="76" ht="3" customHeight="1">
      <c r="A76" s="40" t="n"/>
      <c r="B76" s="40" t="n"/>
      <c r="C76" s="148" t="n"/>
      <c r="D76" s="148" t="n"/>
      <c r="E76" s="148" t="n"/>
      <c r="G76" s="137" t="n"/>
    </row>
    <row r="77" ht="27" customHeight="1">
      <c r="A77" s="40" t="inlineStr">
        <is>
          <t>9.</t>
        </is>
      </c>
      <c r="B77" s="148" t="inlineStr">
        <is>
          <t>Boyd Sign Systems warranties all material and labor from one year of purchase.  Warranties will not be honored if product has not been paid for in full.  Extended warranty terms are available for an additional cost.</t>
        </is>
      </c>
      <c r="G77" s="126" t="n"/>
    </row>
    <row r="78" ht="5.25" customHeight="1">
      <c r="A78" s="40" t="n"/>
      <c r="B78" s="40" t="n"/>
      <c r="C78" s="148" t="n"/>
      <c r="D78" s="148" t="n"/>
      <c r="E78" s="148" t="n"/>
      <c r="G78" s="137" t="n"/>
    </row>
    <row r="79" ht="40.5" customHeight="1">
      <c r="A79" s="40" t="inlineStr">
        <is>
          <t>10.</t>
        </is>
      </c>
      <c r="B79" s="148" t="inlineStr">
        <is>
          <t xml:space="preserve">Pricing for your job is calculated to be built and shipped in its entirety unless previously noted.
Any requests that deviate from this will impact the cost of production and thus necessitate a change order reflecting additional charges.  </t>
        </is>
      </c>
      <c r="G79" s="137" t="n"/>
    </row>
    <row r="80" ht="3" customHeight="1">
      <c r="A80" s="40" t="n"/>
      <c r="B80" s="40" t="n"/>
      <c r="C80" s="148" t="n"/>
      <c r="D80" s="148" t="n"/>
      <c r="E80" s="148" t="n"/>
      <c r="G80" s="126" t="n"/>
    </row>
    <row r="81" ht="27.75" customHeight="1">
      <c r="A81" s="40" t="inlineStr">
        <is>
          <t>11.</t>
        </is>
      </c>
      <c r="B81" s="148" t="inlineStr">
        <is>
          <t>Requests for product ahead of the scheduled delivery date (triggered by the final sign-off &amp; deposit) will necessitate an expediting/rush charge and will only be set in motion by a signed change order.</t>
        </is>
      </c>
      <c r="G81" s="126" t="n"/>
    </row>
    <row r="82" ht="6" customHeight="1">
      <c r="A82" s="40" t="n"/>
      <c r="B82" s="40" t="n"/>
      <c r="C82" s="148" t="n"/>
      <c r="D82" s="148" t="n"/>
      <c r="E82" s="148" t="n"/>
      <c r="G82" s="137" t="n"/>
    </row>
    <row r="83" ht="42.75" customHeight="1">
      <c r="A83" s="40" t="inlineStr">
        <is>
          <t>12.</t>
        </is>
      </c>
      <c r="B83" s="148" t="inlineStr">
        <is>
          <t>The buyer is responsible for and ensuring the proper resources are in place and ready to receive shipments from Boyd Sign Systems unless prior arrangements were made and documented in writing.  This includes; qualified personnel, material handling equipment, and a safe and secure area for the crate(s) to be stored until they are needed.</t>
        </is>
      </c>
      <c r="G83" s="126" t="n"/>
    </row>
    <row r="84" ht="6.75" customHeight="1">
      <c r="A84" s="40" t="n"/>
      <c r="B84" s="40" t="n"/>
      <c r="C84" s="148" t="n"/>
      <c r="D84" s="148" t="n"/>
      <c r="E84" s="148" t="n"/>
      <c r="G84" s="126" t="n"/>
    </row>
    <row r="85" ht="81" customHeight="1">
      <c r="A85" s="40" t="inlineStr">
        <is>
          <t>13.</t>
        </is>
      </c>
      <c r="B85" s="148" t="inlineStr">
        <is>
          <t>If Installation is part of your project, the install price is calculated on the basis of a detailed, finely coordinated schedule of events based on the best information available to us at the time of this proposal.  We Acknowledge that site conditions can and do change throughout the course of a project, and we will always do our best to accommodate reasonable modifications to our original plan, however, if site conditions are not ready for us or misrepresented, and we are unable to execute our stated work, a change order will be necessary to capture the additional trip(s) and associated costs.  Work will not commerce until said change order(s) is acknowledged and signed.</t>
        </is>
      </c>
      <c r="G85" s="126" t="n"/>
    </row>
    <row r="86" ht="6.75" customHeight="1">
      <c r="A86" s="40" t="n"/>
      <c r="B86" s="148" t="n"/>
      <c r="C86" s="148" t="n"/>
      <c r="D86" s="148" t="n"/>
      <c r="E86" s="148" t="n"/>
      <c r="F86" s="148" t="n"/>
      <c r="G86" s="126" t="n"/>
    </row>
    <row r="87" ht="88.5" customHeight="1">
      <c r="A87" s="40" t="inlineStr">
        <is>
          <t>14.</t>
        </is>
      </c>
      <c r="B87" s="149" t="inlineStr">
        <is>
          <t xml:space="preserve">Shop Drawings will not begin until this proposal is approved. Once signed and returned, shop drawings take between 3-10 business days to complete. Shop drawings must be signed and returned before fabrication can begin. Once shop drawings are complete, any major changes that occur and a re-draw is required, an engineering/graphics fee of $300 per sign type will apply. Regarding digital enclosures this $300 fee applies to changes in hardware, mounting application (surface vs. recessed), or design. Approval of this proposal authorizes Boyd to start shop drawings based on the quoted hardware specs outlined in the description field of each sign type. </t>
        </is>
      </c>
      <c r="G87" s="126" t="n"/>
    </row>
    <row r="88" ht="6" customHeight="1">
      <c r="A88" s="40" t="n"/>
      <c r="B88" s="149" t="n"/>
      <c r="G88" s="137" t="n"/>
    </row>
    <row r="89" ht="18" customHeight="1">
      <c r="A89" s="40" t="inlineStr">
        <is>
          <t>15.</t>
        </is>
      </c>
      <c r="B89" s="148" t="inlineStr">
        <is>
          <t>The final ship and/or install date will be determined once all of the creative materials have been received.</t>
        </is>
      </c>
      <c r="G89" s="137" t="n"/>
    </row>
    <row r="90" ht="6.75" customHeight="1">
      <c r="A90" s="40" t="n"/>
      <c r="B90" s="40" t="n"/>
      <c r="C90" s="148" t="n"/>
      <c r="D90" s="148" t="n"/>
      <c r="E90" s="148" t="n"/>
      <c r="G90" s="137" t="n"/>
    </row>
    <row r="91" ht="67.5" customHeight="1">
      <c r="A91" s="40" t="inlineStr">
        <is>
          <t>16.</t>
        </is>
      </c>
      <c r="B91" s="148" t="inlineStr">
        <is>
          <t>Shipping is quoted using standard ground services (transit 5-7 business days). If expedited shipping is preferred, a change order is required.  Approval of said change order is required prior to shipment. The entire shipment must be inspected for damage immediately upon delivery and documented and reported immediately to the carrier.  If an immediate inspection is not conducted, Boyd Sign Systems will not be held responsible.  Any damage then becomes the responsibility of the "Recipient/Consignee".</t>
        </is>
      </c>
      <c r="G91" s="142" t="n"/>
    </row>
    <row r="92" ht="9.75" customHeight="1">
      <c r="A92" s="40" t="n"/>
      <c r="B92" s="149" t="n"/>
      <c r="C92" s="149" t="n"/>
      <c r="D92" s="149" t="n"/>
      <c r="E92" s="149" t="n"/>
      <c r="G92" s="137" t="n"/>
    </row>
    <row r="93" ht="54.75" customHeight="1">
      <c r="A93" s="40" t="inlineStr">
        <is>
          <t>17.</t>
        </is>
      </c>
      <c r="B93" s="148" t="inlineStr">
        <is>
          <t>Special delivery services not disclosed, but necessary to deliver our products, such as lift-gate requirements, construction sites, government properties, tradeshow exhibits, ones requiring specific appointments, redeliveries, or other special delivery situations are all subject to additional charges and will be billed accordingly.</t>
        </is>
      </c>
      <c r="G93" s="137" t="n"/>
    </row>
    <row r="94" ht="7.5" customHeight="1">
      <c r="A94" s="40" t="n"/>
      <c r="B94" s="149" t="n"/>
      <c r="C94" s="149" t="n"/>
      <c r="D94" s="149" t="n"/>
      <c r="E94" s="149" t="n"/>
      <c r="G94" s="137" t="n"/>
    </row>
    <row r="95" ht="41.25" customHeight="1">
      <c r="A95" s="40" t="inlineStr">
        <is>
          <t>18.</t>
        </is>
      </c>
      <c r="B95" s="148" t="inlineStr">
        <is>
          <t>Typical lead-time to ship is 6 weeks once the design has been finalized and signed off by the client.  We reserve the right to adjust the quoted delivery at the time we receive the actual sign off and down payment to then accurately reflect our existing production requirements.</t>
        </is>
      </c>
      <c r="G95" s="137" t="n"/>
    </row>
    <row r="96" ht="10.5" customHeight="1">
      <c r="A96" s="40" t="n"/>
      <c r="B96" s="148" t="n"/>
      <c r="C96" s="148" t="n"/>
      <c r="D96" s="148" t="n"/>
      <c r="E96" s="148" t="n"/>
      <c r="F96" s="148" t="n"/>
      <c r="G96" s="137" t="n"/>
    </row>
    <row r="97" ht="132.75" customHeight="1">
      <c r="A97" s="40" t="inlineStr">
        <is>
          <t>19.</t>
        </is>
      </c>
      <c r="B97" s="148" t="inlineStr">
        <is>
          <t>This Agreement (signed proposal) shall be construed in accordance with and governed by the laws of the State of Colorado and of the United States of America.  This Agreement (signed proposal) is made and is performable in the City of Englewood, Arapahoe County, Colorado.  Buyer and Seller agree that suits brought to enforce or interpret or relating to the terms of this Agreement (signed proposal) or alleging default there under shall be brought in the State Courts or United States District Courts sitting in the City of Denver, Denver County, Colorado, which courts shall have exclusive jurisdiction of such claims, and Seller and each surety, guarantor, endorser and other party ever liable for payment of any sums of money under this Agreement (signed proposal), jointly and severally waive the right to be sued heron elsewhere.   All sums of money due and payable under this Agreement (signed proposal), jointly and severally waive the right to be sued heron elsewhere. All sums of money due and payable under this Agreement (signed proposal) shall be paid to Seller at 3901 S Kalamath Street, Englewood, Colorado 80110.</t>
        </is>
      </c>
      <c r="G97" s="143" t="n"/>
    </row>
    <row r="98" ht="12.75" customHeight="1">
      <c r="A98" s="4" t="n"/>
      <c r="B98" s="40" t="n"/>
      <c r="C98" s="148" t="n"/>
      <c r="D98" s="148" t="n"/>
      <c r="E98" s="148" t="n"/>
      <c r="F98" s="6" t="n"/>
      <c r="G98" s="144" t="n"/>
    </row>
    <row r="99" ht="41.25" customHeight="1">
      <c r="A99" s="4" t="n"/>
      <c r="B99" s="150" t="inlineStr">
        <is>
          <t>The attached proposal is a key component of your project's overall transaction as it clearly defines the various detailed signage needs.  This document must be signed and dated as a pre-condition of project commencement.</t>
        </is>
      </c>
      <c r="F99" s="148" t="n"/>
      <c r="G99" s="143" t="n"/>
    </row>
    <row r="100" ht="9" customHeight="1">
      <c r="A100" s="4" t="n"/>
      <c r="B100" s="148" t="n"/>
      <c r="C100" s="148" t="n"/>
      <c r="D100" s="148" t="n"/>
      <c r="E100" s="148" t="n"/>
      <c r="F100" s="148" t="n"/>
      <c r="G100" s="143" t="n"/>
    </row>
    <row r="101" ht="39.75" customHeight="1">
      <c r="A101" s="4" t="n"/>
      <c r="B101" s="150" t="inlineStr">
        <is>
          <t>You will receive an invoice for the down payment required to begin your project and terms for the balance is due upon completion.  The obligations that Boyd Sign Systems will assume will not begin until all documents are signed and received, including the down payment.</t>
        </is>
      </c>
      <c r="F101" s="148" t="n"/>
      <c r="G101" s="145" t="n"/>
    </row>
    <row r="102">
      <c r="A102" s="4" t="n"/>
      <c r="B102" s="148" t="n"/>
      <c r="C102" s="148" t="n"/>
      <c r="D102" s="148" t="n"/>
      <c r="E102" s="148" t="n"/>
      <c r="F102" s="148" t="n"/>
      <c r="G102" s="143" t="n"/>
    </row>
    <row r="103" ht="29.25" customHeight="1">
      <c r="A103" s="4" t="n"/>
      <c r="B103" s="150" t="inlineStr">
        <is>
          <t>We appreciate this opportunity to present our proposal.  If this proposal meets your approval, please indicate your acceptance by signing below.</t>
        </is>
      </c>
      <c r="F103" s="148" t="n"/>
      <c r="G103" s="143" t="n"/>
    </row>
    <row r="104" ht="6.75" customHeight="1">
      <c r="A104" s="4" t="n"/>
      <c r="B104" s="147" t="n"/>
      <c r="C104" s="147" t="n"/>
      <c r="D104" s="147" t="n"/>
      <c r="E104" s="147" t="n"/>
      <c r="F104" s="147" t="n"/>
      <c r="G104" s="126" t="n"/>
    </row>
    <row r="105" ht="15.75" customHeight="1">
      <c r="A105" s="4" t="n"/>
      <c r="B105" s="150" t="inlineStr">
        <is>
          <t>Signature indicates your agreement with this proposal and any associated Statements of Work.</t>
        </is>
      </c>
      <c r="G105" s="143" t="n"/>
    </row>
    <row r="106">
      <c r="A106" s="4" t="n"/>
      <c r="B106" s="147" t="n"/>
      <c r="C106" s="147" t="n"/>
      <c r="D106" s="147" t="n"/>
      <c r="E106" s="147" t="n"/>
      <c r="F106" s="147" t="n"/>
      <c r="G106" s="126" t="n"/>
    </row>
    <row r="107">
      <c r="A107" s="4" t="n"/>
      <c r="B107" s="147" t="n"/>
      <c r="C107" s="147" t="n"/>
      <c r="D107" s="147" t="n"/>
      <c r="E107" s="147" t="n"/>
      <c r="F107" s="147" t="n"/>
      <c r="G107" s="126" t="n"/>
    </row>
    <row r="108" ht="31.5" customHeight="1">
      <c r="B108" s="70" t="inlineStr">
        <is>
          <t>Customer Approval:</t>
        </is>
      </c>
      <c r="C108" s="70" t="n"/>
      <c r="D108" s="70" t="n"/>
      <c r="E108" s="70" t="n"/>
      <c r="F108" s="70" t="n"/>
      <c r="G108" s="126" t="n"/>
    </row>
    <row r="109">
      <c r="B109" s="147" t="n"/>
      <c r="C109" s="147" t="n"/>
      <c r="D109" s="147" t="n"/>
      <c r="E109" s="147" t="n"/>
      <c r="F109" s="147" t="n"/>
      <c r="G109" s="126" t="n"/>
    </row>
    <row r="110" ht="12.75" customHeight="1">
      <c r="B110" s="147" t="inlineStr">
        <is>
          <t xml:space="preserve">   Customer Signature: __________________________________________________  Date: ___________________</t>
        </is>
      </c>
      <c r="G110" s="126" t="n"/>
    </row>
    <row r="111" ht="2.25" customHeight="1">
      <c r="B111" s="6" t="n"/>
      <c r="G111" s="126" t="n"/>
    </row>
    <row r="112" ht="17.25" customHeight="1">
      <c r="B112" s="147" t="inlineStr">
        <is>
          <t xml:space="preserve">    Print Name: _______________________________________________     Title: _____________________________</t>
        </is>
      </c>
      <c r="G112" s="126" t="n"/>
    </row>
    <row r="113" ht="9.949999999999999" customHeight="1">
      <c r="B113" s="6" t="n"/>
      <c r="G113" s="126" t="n"/>
    </row>
    <row r="114" ht="18.75" customHeight="1">
      <c r="B114" s="6" t="n"/>
      <c r="G114" s="126" t="n"/>
    </row>
    <row r="115" ht="15" customHeight="1">
      <c r="B115" s="47" t="inlineStr">
        <is>
          <t>Boyd Sign Systems LLC</t>
        </is>
      </c>
      <c r="G115" s="126" t="n"/>
    </row>
    <row r="116" ht="0.75" customHeight="1">
      <c r="B116" s="6" t="n"/>
      <c r="G116" s="126" t="n"/>
    </row>
    <row r="117" ht="16.5" customHeight="1">
      <c r="B117" s="6" t="n"/>
      <c r="E117" s="3" t="inlineStr">
        <is>
          <t xml:space="preserve">Date: </t>
        </is>
      </c>
      <c r="F117" s="3" t="n"/>
      <c r="G117" s="126" t="n"/>
    </row>
    <row r="118" ht="9.949999999999999" customHeight="1">
      <c r="A118" s="1" t="n"/>
      <c r="B118" s="19" t="n"/>
      <c r="C118" s="32" t="n"/>
      <c r="G118" s="126" t="n"/>
    </row>
    <row r="119" ht="9.949999999999999" customHeight="1">
      <c r="A119" s="112" t="n"/>
      <c r="B119" s="113" t="n"/>
      <c r="C119" s="112" t="n"/>
      <c r="D119" s="112" t="n"/>
      <c r="E119" s="112" t="n"/>
      <c r="F119" s="112" t="n"/>
      <c r="G119" s="126" t="n"/>
    </row>
    <row r="120" ht="9.949999999999999" customHeight="1">
      <c r="A120" s="1" t="n"/>
      <c r="B120" s="19" t="n"/>
    </row>
    <row r="121" ht="9.949999999999999" customHeight="1">
      <c r="A121" s="1" t="n"/>
      <c r="B121" s="19" t="n"/>
    </row>
    <row r="122" ht="9.949999999999999" customHeight="1">
      <c r="A122" s="1" t="n"/>
      <c r="B122" s="19" t="n"/>
    </row>
    <row r="123" ht="9.949999999999999" customHeight="1">
      <c r="A123" s="1" t="n"/>
      <c r="B123" s="19" t="n"/>
    </row>
    <row r="124" ht="9.949999999999999" customHeight="1">
      <c r="A124" s="1" t="n"/>
      <c r="B124" s="19" t="n"/>
    </row>
    <row r="125" ht="9.949999999999999" customHeight="1">
      <c r="A125" s="1" t="n"/>
      <c r="B125" s="19" t="n"/>
    </row>
    <row r="126" ht="9.949999999999999" customHeight="1">
      <c r="A126" s="1" t="n"/>
      <c r="B126" s="19" t="n"/>
    </row>
    <row r="127" ht="9.949999999999999" customHeight="1">
      <c r="A127" s="1" t="n"/>
      <c r="B127" s="19" t="n"/>
    </row>
    <row r="128" ht="9.949999999999999" customHeight="1">
      <c r="A128" s="1" t="n"/>
      <c r="B128" s="19" t="n"/>
    </row>
    <row r="129" ht="9.949999999999999" customFormat="1" customHeight="1" s="1">
      <c r="B129" s="19" t="n"/>
    </row>
    <row r="130" ht="9.949999999999999" customFormat="1" customHeight="1" s="1">
      <c r="B130" s="19" t="n"/>
    </row>
    <row r="131" ht="9.949999999999999" customFormat="1" customHeight="1" s="1">
      <c r="B131" s="19" t="n"/>
    </row>
    <row r="132" ht="9.949999999999999" customFormat="1" customHeight="1" s="1">
      <c r="B132" s="19" t="n"/>
    </row>
    <row r="133" ht="9.949999999999999" customFormat="1" customHeight="1" s="1">
      <c r="B133" s="19" t="n"/>
    </row>
    <row r="134" ht="126" customFormat="1" customHeight="1" s="1">
      <c r="B134" s="19" t="n"/>
    </row>
    <row r="135" ht="96" customFormat="1" customHeight="1" s="1">
      <c r="B135" s="19" t="n"/>
    </row>
    <row r="136" ht="93" customFormat="1" customHeight="1" s="1">
      <c r="B136" s="19" t="n"/>
    </row>
    <row r="137" ht="42" customFormat="1" customHeight="1" s="1">
      <c r="B137" s="19" t="n"/>
    </row>
    <row r="138" ht="42.75" customFormat="1" customHeight="1" s="1">
      <c r="B138" s="19" t="n"/>
    </row>
    <row r="139" ht="103.5" customFormat="1" customHeight="1" s="1">
      <c r="B139" s="19" t="n"/>
    </row>
    <row r="140" customFormat="1" s="1">
      <c r="B140" s="19" t="n"/>
    </row>
    <row r="141" customFormat="1" s="1">
      <c r="B141" s="19" t="n"/>
    </row>
    <row r="142" customFormat="1" s="1">
      <c r="B142" s="19" t="n"/>
    </row>
    <row r="143" customFormat="1" s="1">
      <c r="B143" s="19" t="n"/>
    </row>
    <row r="144" customFormat="1" s="1">
      <c r="B144" s="19" t="n"/>
    </row>
    <row r="145" customFormat="1" s="1">
      <c r="B145" s="19" t="n"/>
    </row>
    <row r="146" customFormat="1" s="1">
      <c r="B146" s="19" t="n"/>
    </row>
    <row r="147" customFormat="1" s="1">
      <c r="B147" s="19" t="n"/>
    </row>
    <row r="148" customFormat="1" s="1">
      <c r="B148" s="19" t="n"/>
    </row>
    <row r="149" customFormat="1" s="1">
      <c r="B149" s="19" t="n"/>
    </row>
    <row r="150" customFormat="1" s="1">
      <c r="B150" s="19" t="n"/>
    </row>
    <row r="151" customFormat="1" s="1">
      <c r="B151" s="19" t="n"/>
    </row>
    <row r="152" customFormat="1" s="1">
      <c r="B152" s="19" t="n"/>
    </row>
    <row r="153" customFormat="1" s="1">
      <c r="B153" s="19" t="n"/>
    </row>
    <row r="154" customFormat="1" s="1">
      <c r="B154" s="19" t="n"/>
    </row>
    <row r="155" customFormat="1" s="1">
      <c r="B155" s="19" t="n"/>
    </row>
    <row r="156" customFormat="1" s="1">
      <c r="B156" s="19" t="n"/>
    </row>
    <row r="157" customFormat="1" s="1">
      <c r="B157" s="19" t="n"/>
    </row>
    <row r="158" customFormat="1" s="1">
      <c r="B158" s="19" t="n"/>
    </row>
    <row r="159" customFormat="1" s="1">
      <c r="B159" s="19" t="n"/>
    </row>
    <row r="160" customFormat="1" s="1">
      <c r="B160" s="19" t="n"/>
    </row>
    <row r="161" customFormat="1" s="1">
      <c r="B161" s="19" t="n"/>
    </row>
    <row r="162" customFormat="1" s="1">
      <c r="B162" s="19" t="n"/>
    </row>
    <row r="163" customFormat="1" s="1">
      <c r="B163" s="19" t="n"/>
    </row>
    <row r="164" customFormat="1" s="1">
      <c r="B164" s="19" t="n"/>
    </row>
    <row r="165" customFormat="1" s="1">
      <c r="B165" s="19" t="n"/>
    </row>
    <row r="166" customFormat="1" s="1">
      <c r="B166" s="19" t="n"/>
    </row>
    <row r="167" customFormat="1" s="1">
      <c r="B167" s="19" t="n"/>
    </row>
    <row r="168" customFormat="1" s="1">
      <c r="B168" s="19" t="n"/>
    </row>
    <row r="169" customFormat="1" s="1">
      <c r="B169" s="19" t="n"/>
    </row>
    <row r="170" customFormat="1" s="1">
      <c r="B170" s="19" t="n"/>
    </row>
    <row r="171" customFormat="1" s="1">
      <c r="B171" s="19" t="n"/>
    </row>
    <row r="172" customFormat="1" s="1">
      <c r="B172" s="19" t="n"/>
    </row>
    <row r="173" customFormat="1" s="1">
      <c r="B173" s="19" t="n"/>
    </row>
    <row r="174" customFormat="1" s="1">
      <c r="B174" s="19" t="n"/>
    </row>
    <row r="175" customFormat="1" s="1">
      <c r="B175" s="19" t="n"/>
    </row>
    <row r="176" customFormat="1" s="1">
      <c r="B176" s="19" t="n"/>
    </row>
    <row r="177" customFormat="1" s="1">
      <c r="B177" s="19" t="n"/>
    </row>
    <row r="178" customFormat="1" s="1">
      <c r="B178" s="19" t="n"/>
    </row>
    <row r="179" customFormat="1" s="1">
      <c r="B179" s="19" t="n"/>
    </row>
    <row r="180" customFormat="1" s="1">
      <c r="B180" s="19" t="n"/>
    </row>
    <row r="181" customFormat="1" s="1">
      <c r="B181" s="19" t="n"/>
    </row>
    <row r="182" customFormat="1" s="1">
      <c r="B182" s="19" t="n"/>
    </row>
    <row r="183" customFormat="1" s="1">
      <c r="B183" s="19" t="n"/>
    </row>
    <row r="184" customFormat="1" s="1">
      <c r="B184" s="19" t="n"/>
    </row>
    <row r="185" customFormat="1" s="1">
      <c r="B185" s="19" t="n"/>
    </row>
    <row r="186" customFormat="1" s="1">
      <c r="B186" s="19" t="n"/>
    </row>
    <row r="187" customFormat="1" s="1">
      <c r="B187" s="19" t="n"/>
    </row>
    <row r="188" customFormat="1" s="1">
      <c r="B188" s="19" t="n"/>
    </row>
    <row r="189" customFormat="1" s="1">
      <c r="B189" s="19" t="n"/>
    </row>
    <row r="190" customFormat="1" s="1">
      <c r="B190" s="19" t="n"/>
    </row>
    <row r="191" customFormat="1" s="1">
      <c r="B191" s="19" t="n"/>
    </row>
    <row r="192" customFormat="1" s="1">
      <c r="B192" s="19" t="n"/>
    </row>
    <row r="193" customFormat="1" s="1">
      <c r="B193" s="19" t="n"/>
    </row>
    <row r="194" customFormat="1" s="1">
      <c r="B194" s="19" t="n"/>
    </row>
    <row r="195" customFormat="1" s="1">
      <c r="B195" s="19" t="n"/>
    </row>
    <row r="196" customFormat="1" s="1">
      <c r="B196" s="19" t="n"/>
    </row>
    <row r="197" customFormat="1" s="1">
      <c r="B197" s="19" t="n"/>
    </row>
    <row r="198" customFormat="1" s="1">
      <c r="B198" s="19" t="n"/>
    </row>
    <row r="199" customFormat="1" s="1">
      <c r="B199" s="19" t="n"/>
    </row>
    <row r="200" customFormat="1" s="1">
      <c r="B200" s="19" t="n"/>
    </row>
    <row r="201" customFormat="1" s="1">
      <c r="B201" s="19" t="n"/>
    </row>
    <row r="202" customFormat="1" s="1">
      <c r="B202" s="19" t="n"/>
    </row>
    <row r="203" customFormat="1" s="1">
      <c r="B203" s="19" t="n"/>
    </row>
    <row r="204" customFormat="1" s="1">
      <c r="B204" s="19" t="n"/>
    </row>
    <row r="205" customFormat="1" s="1">
      <c r="B205" s="19" t="n"/>
    </row>
    <row r="206" customFormat="1" s="1">
      <c r="B206" s="19" t="n"/>
    </row>
    <row r="207" customFormat="1" s="1">
      <c r="B207" s="19" t="n"/>
    </row>
    <row r="208" customFormat="1" s="1">
      <c r="B208" s="19" t="n"/>
    </row>
    <row r="209" customFormat="1" s="1">
      <c r="B209" s="19" t="n"/>
    </row>
    <row r="210" customFormat="1" s="1">
      <c r="B210" s="19" t="n"/>
    </row>
    <row r="211" customFormat="1" s="1">
      <c r="B211" s="19" t="n"/>
    </row>
    <row r="212" customFormat="1" s="1">
      <c r="B212" s="19" t="n"/>
    </row>
    <row r="213" customFormat="1" s="1">
      <c r="B213" s="19" t="n"/>
    </row>
    <row r="214" customFormat="1" s="1">
      <c r="B214" s="19" t="n"/>
    </row>
    <row r="215" customFormat="1" s="1">
      <c r="B215" s="19" t="n"/>
    </row>
    <row r="216" customFormat="1" s="1">
      <c r="B216" s="19" t="n"/>
    </row>
    <row r="217" customFormat="1" s="1">
      <c r="B217" s="19" t="n"/>
    </row>
    <row r="218" customFormat="1" s="1">
      <c r="B218" s="19" t="n"/>
    </row>
    <row r="219" customFormat="1" s="1">
      <c r="B219" s="19" t="n"/>
    </row>
    <row r="220" customFormat="1" s="1">
      <c r="B220" s="19" t="n"/>
    </row>
    <row r="221" customFormat="1" s="1">
      <c r="B221" s="19" t="n"/>
    </row>
    <row r="222" customFormat="1" s="1">
      <c r="B222" s="19" t="n"/>
    </row>
    <row r="223" customFormat="1" s="1">
      <c r="B223" s="19" t="n"/>
    </row>
    <row r="224" customFormat="1" s="1">
      <c r="B224" s="19" t="n"/>
    </row>
    <row r="225" customFormat="1" s="1">
      <c r="B225" s="19" t="n"/>
    </row>
    <row r="226" customFormat="1" s="1">
      <c r="B226" s="19" t="n"/>
    </row>
    <row r="227" customFormat="1" s="1">
      <c r="B227" s="19" t="n"/>
    </row>
    <row r="228" customFormat="1" s="1">
      <c r="B228" s="19" t="n"/>
    </row>
    <row r="229" customFormat="1" s="1">
      <c r="B229" s="19" t="n"/>
    </row>
    <row r="230" customFormat="1" s="1">
      <c r="B230" s="19" t="n"/>
    </row>
    <row r="231" customFormat="1" s="1">
      <c r="B231" s="19" t="n"/>
    </row>
    <row r="232" customFormat="1" s="1">
      <c r="B232" s="19" t="n"/>
    </row>
    <row r="233" customFormat="1" s="1">
      <c r="B233" s="19" t="n"/>
    </row>
    <row r="234" customFormat="1" s="1">
      <c r="B234" s="19" t="n"/>
    </row>
    <row r="235" customFormat="1" s="1">
      <c r="B235" s="19" t="n"/>
    </row>
    <row r="236" customFormat="1" s="1">
      <c r="B236" s="19" t="n"/>
    </row>
    <row r="237" customFormat="1" s="1">
      <c r="B237" s="19" t="n"/>
    </row>
    <row r="238" customFormat="1" s="1">
      <c r="B238" s="19" t="n"/>
    </row>
    <row r="239" customFormat="1" s="1">
      <c r="B239" s="19" t="n"/>
    </row>
    <row r="240" customFormat="1" s="1">
      <c r="B240" s="19" t="n"/>
    </row>
    <row r="241" customFormat="1" s="1">
      <c r="B241" s="19" t="n"/>
    </row>
    <row r="242" customFormat="1" s="1">
      <c r="B242" s="19" t="n"/>
    </row>
    <row r="243" customFormat="1" s="1">
      <c r="B243" s="19" t="n"/>
    </row>
    <row r="244" customFormat="1" s="1">
      <c r="B244" s="19" t="n"/>
    </row>
    <row r="245" customFormat="1" s="1">
      <c r="B245" s="19" t="n"/>
    </row>
    <row r="246" customFormat="1" s="1">
      <c r="B246" s="19" t="n"/>
    </row>
    <row r="247" customFormat="1" s="1">
      <c r="B247" s="19" t="n"/>
    </row>
    <row r="248" customFormat="1" s="1">
      <c r="B248" s="19" t="n"/>
    </row>
    <row r="249" customFormat="1" s="1">
      <c r="B249" s="19" t="n"/>
    </row>
    <row r="250" customFormat="1" s="1">
      <c r="B250" s="19" t="n"/>
    </row>
    <row r="251" customFormat="1" s="1">
      <c r="B251" s="19" t="n"/>
    </row>
    <row r="252" customFormat="1" s="1">
      <c r="B252" s="19" t="n"/>
    </row>
    <row r="253" customFormat="1" s="1">
      <c r="B253" s="19" t="n"/>
    </row>
    <row r="254" customFormat="1" s="1">
      <c r="B254" s="19" t="n"/>
    </row>
    <row r="255" customFormat="1" s="1">
      <c r="B255" s="19" t="n"/>
    </row>
    <row r="256" customFormat="1" s="1">
      <c r="B256" s="19" t="n"/>
    </row>
    <row r="257" customFormat="1" s="1">
      <c r="B257" s="19" t="n"/>
    </row>
    <row r="258" customFormat="1" s="1">
      <c r="B258" s="19" t="n"/>
    </row>
    <row r="259" customFormat="1" s="1">
      <c r="B259" s="19" t="n"/>
    </row>
    <row r="260" customFormat="1" s="1">
      <c r="B260" s="19" t="n"/>
    </row>
    <row r="261" customFormat="1" s="1">
      <c r="B261" s="19" t="n"/>
    </row>
    <row r="262" customFormat="1" s="1">
      <c r="B262" s="19" t="n"/>
    </row>
    <row r="263" customFormat="1" s="1">
      <c r="B263" s="19" t="n"/>
    </row>
    <row r="264" customFormat="1" s="1">
      <c r="B264" s="19" t="n"/>
    </row>
    <row r="265" customFormat="1" s="1">
      <c r="B265" s="19" t="n"/>
    </row>
    <row r="266" customFormat="1" s="1">
      <c r="B266" s="19" t="n"/>
    </row>
    <row r="267" customFormat="1" s="1">
      <c r="B267" s="19" t="n"/>
    </row>
    <row r="268" customFormat="1" s="1">
      <c r="B268" s="19" t="n"/>
    </row>
    <row r="269" customFormat="1" s="1">
      <c r="B269" s="19" t="n"/>
    </row>
    <row r="270" customFormat="1" s="1">
      <c r="B270" s="19" t="n"/>
    </row>
    <row r="271" customFormat="1" s="1">
      <c r="B271" s="19" t="n"/>
    </row>
    <row r="272" customFormat="1" s="1">
      <c r="B272" s="19" t="n"/>
    </row>
    <row r="273" customFormat="1" s="1">
      <c r="B273" s="19" t="n"/>
    </row>
    <row r="274" customFormat="1" s="1">
      <c r="B274" s="19" t="n"/>
    </row>
    <row r="275" customFormat="1" s="1">
      <c r="B275" s="19" t="n"/>
    </row>
    <row r="276" customFormat="1" s="1">
      <c r="B276" s="19" t="n"/>
    </row>
    <row r="277" customFormat="1" s="1">
      <c r="B277" s="19" t="n"/>
    </row>
    <row r="278" customFormat="1" s="1">
      <c r="B278" s="19" t="n"/>
    </row>
    <row r="279" customFormat="1" s="1">
      <c r="B279" s="19" t="n"/>
    </row>
    <row r="280" customFormat="1" s="1">
      <c r="B280" s="19" t="n"/>
    </row>
    <row r="281" customFormat="1" s="1">
      <c r="B281" s="19" t="n"/>
    </row>
    <row r="282" customFormat="1" s="1">
      <c r="B282" s="19" t="n"/>
    </row>
    <row r="283" customFormat="1" s="1">
      <c r="B283" s="19" t="n"/>
    </row>
    <row r="284" customFormat="1" s="1">
      <c r="B284" s="19" t="n"/>
    </row>
    <row r="285" customFormat="1" s="1">
      <c r="B285" s="19" t="n"/>
    </row>
    <row r="286" customFormat="1" s="1">
      <c r="B286" s="19" t="n"/>
    </row>
    <row r="287" customFormat="1" s="1">
      <c r="B287" s="19" t="n"/>
    </row>
    <row r="288" customFormat="1" s="1">
      <c r="B288" s="19" t="n"/>
    </row>
    <row r="289" customFormat="1" s="1">
      <c r="B289" s="19" t="n"/>
    </row>
    <row r="290" customFormat="1" s="1">
      <c r="B290" s="19" t="n"/>
    </row>
    <row r="291" customFormat="1" s="1">
      <c r="B291" s="19" t="n"/>
    </row>
    <row r="292" customFormat="1" s="1">
      <c r="B292" s="19" t="n"/>
    </row>
    <row r="293" customFormat="1" s="1">
      <c r="B293" s="19" t="n"/>
    </row>
    <row r="294" customFormat="1" s="1">
      <c r="B294" s="19" t="n"/>
    </row>
    <row r="295" customFormat="1" s="1">
      <c r="B295" s="19" t="n"/>
    </row>
    <row r="296" customFormat="1" s="1">
      <c r="B296" s="19" t="n"/>
    </row>
    <row r="297" customFormat="1" s="1">
      <c r="B297" s="19" t="n"/>
    </row>
    <row r="298" customFormat="1" s="1">
      <c r="B298" s="19" t="n"/>
    </row>
    <row r="299" customFormat="1" s="1">
      <c r="B299" s="19" t="n"/>
    </row>
    <row r="300" customFormat="1" s="1">
      <c r="B300" s="19" t="n"/>
    </row>
    <row r="301" customFormat="1" s="1">
      <c r="B301" s="19" t="n"/>
    </row>
    <row r="302" customFormat="1" s="1">
      <c r="B302" s="19" t="n"/>
    </row>
    <row r="303" customFormat="1" s="1">
      <c r="B303" s="19" t="n"/>
    </row>
    <row r="304" customFormat="1" s="1">
      <c r="B304" s="19" t="n"/>
    </row>
    <row r="305" customFormat="1" s="1">
      <c r="B305" s="19" t="n"/>
    </row>
    <row r="306" customFormat="1" s="1">
      <c r="B306" s="19" t="n"/>
    </row>
    <row r="307" customFormat="1" s="1">
      <c r="B307" s="19" t="n"/>
    </row>
    <row r="308" customFormat="1" s="1">
      <c r="B308" s="19" t="n"/>
    </row>
    <row r="309" customFormat="1" s="1">
      <c r="B309" s="19" t="n"/>
    </row>
    <row r="310" customFormat="1" s="1">
      <c r="B310" s="19" t="n"/>
    </row>
    <row r="311" customFormat="1" s="1">
      <c r="B311" s="19" t="n"/>
    </row>
    <row r="312" customFormat="1" s="1">
      <c r="B312" s="19" t="n"/>
    </row>
    <row r="313" customFormat="1" s="1">
      <c r="B313" s="19" t="n"/>
    </row>
    <row r="314" customFormat="1" s="1">
      <c r="B314" s="19" t="n"/>
    </row>
    <row r="315" customFormat="1" s="1">
      <c r="B315" s="19" t="n"/>
    </row>
    <row r="316" customFormat="1" s="1">
      <c r="B316" s="19" t="n"/>
    </row>
    <row r="317" customFormat="1" s="1">
      <c r="B317" s="19" t="n"/>
    </row>
    <row r="318" customFormat="1" s="1">
      <c r="B318" s="19" t="n"/>
    </row>
    <row r="319" customFormat="1" s="1">
      <c r="B319" s="19" t="n"/>
    </row>
    <row r="320" customFormat="1" s="1">
      <c r="B320" s="19" t="n"/>
    </row>
    <row r="321" customFormat="1" s="1">
      <c r="B321" s="19" t="n"/>
    </row>
    <row r="322" customFormat="1" s="1">
      <c r="B322" s="19" t="n"/>
    </row>
    <row r="323" customFormat="1" s="1">
      <c r="B323" s="19" t="n"/>
    </row>
    <row r="324" customFormat="1" s="1">
      <c r="B324" s="19" t="n"/>
    </row>
    <row r="325" customFormat="1" s="1">
      <c r="B325" s="19" t="n"/>
    </row>
    <row r="326" customFormat="1" s="1">
      <c r="B326" s="19" t="n"/>
    </row>
    <row r="327" customFormat="1" s="1">
      <c r="B327" s="19" t="n"/>
    </row>
    <row r="328" customFormat="1" s="1">
      <c r="B328" s="19" t="n"/>
    </row>
    <row r="329" customFormat="1" s="1">
      <c r="B329" s="19" t="n"/>
    </row>
    <row r="330" customFormat="1" s="1">
      <c r="B330" s="19" t="n"/>
    </row>
    <row r="331" customFormat="1" s="1">
      <c r="B331" s="19" t="n"/>
    </row>
    <row r="332" customFormat="1" s="1">
      <c r="B332" s="19" t="n"/>
    </row>
    <row r="333" customFormat="1" s="1">
      <c r="B333" s="19" t="n"/>
    </row>
    <row r="334" customFormat="1" s="1">
      <c r="B334" s="19" t="n"/>
    </row>
    <row r="335" customFormat="1" s="1">
      <c r="B335" s="19" t="n"/>
    </row>
    <row r="336" customFormat="1" s="1">
      <c r="B336" s="19" t="n"/>
    </row>
    <row r="337" customFormat="1" s="1">
      <c r="B337" s="19" t="n"/>
    </row>
    <row r="338" customFormat="1" s="1">
      <c r="B338" s="19" t="n"/>
    </row>
    <row r="339" customFormat="1" s="1">
      <c r="B339" s="19" t="n"/>
    </row>
    <row r="340" customFormat="1" s="1">
      <c r="B340" s="19" t="n"/>
    </row>
    <row r="341" customFormat="1" s="1">
      <c r="B341" s="19" t="n"/>
    </row>
    <row r="342" customFormat="1" s="1">
      <c r="B342" s="19" t="n"/>
    </row>
    <row r="343" customFormat="1" s="1">
      <c r="B343" s="19" t="n"/>
    </row>
    <row r="344" customFormat="1" s="1">
      <c r="B344" s="19" t="n"/>
    </row>
    <row r="345" customFormat="1" s="1">
      <c r="B345" s="19" t="n"/>
    </row>
    <row r="346" customFormat="1" s="1">
      <c r="B346" s="19" t="n"/>
    </row>
    <row r="347" customFormat="1" s="1">
      <c r="B347" s="19" t="n"/>
    </row>
    <row r="348" customFormat="1" s="1">
      <c r="B348" s="19" t="n"/>
    </row>
    <row r="349" customFormat="1" s="1">
      <c r="B349" s="19" t="n"/>
    </row>
    <row r="350" customFormat="1" s="1">
      <c r="B350" s="19" t="n"/>
    </row>
    <row r="351" customFormat="1" s="1">
      <c r="B351" s="19" t="n"/>
    </row>
    <row r="352" customFormat="1" s="1">
      <c r="B352" s="19" t="n"/>
    </row>
    <row r="353" customFormat="1" s="1">
      <c r="B353" s="19" t="n"/>
    </row>
    <row r="354" customFormat="1" s="1">
      <c r="B354" s="19" t="n"/>
    </row>
    <row r="355" customFormat="1" s="1">
      <c r="B355" s="19" t="n"/>
    </row>
    <row r="356" customFormat="1" s="1">
      <c r="B356" s="19" t="n"/>
    </row>
    <row r="357" customFormat="1" s="1">
      <c r="B357" s="19" t="n"/>
    </row>
    <row r="358" customFormat="1" s="1">
      <c r="B358" s="19" t="n"/>
    </row>
    <row r="359" customFormat="1" s="1">
      <c r="B359" s="19" t="n"/>
    </row>
    <row r="360" customFormat="1" s="1">
      <c r="B360" s="19" t="n"/>
    </row>
    <row r="361" customFormat="1" s="1">
      <c r="B361" s="19" t="n"/>
    </row>
    <row r="362" customFormat="1" s="1">
      <c r="B362" s="19" t="n"/>
    </row>
    <row r="363" customFormat="1" s="1">
      <c r="B363" s="19" t="n"/>
    </row>
    <row r="364" customFormat="1" s="1">
      <c r="B364" s="19" t="n"/>
    </row>
    <row r="365" customFormat="1" s="1">
      <c r="B365" s="19" t="n"/>
    </row>
    <row r="366" customFormat="1" s="1">
      <c r="B366" s="19" t="n"/>
    </row>
    <row r="367" customFormat="1" s="1">
      <c r="B367" s="19" t="n"/>
    </row>
    <row r="368" customFormat="1" s="1">
      <c r="B368" s="19" t="n"/>
    </row>
    <row r="369" customFormat="1" s="1">
      <c r="B369" s="19" t="n"/>
    </row>
    <row r="370" customFormat="1" s="1">
      <c r="B370" s="19" t="n"/>
    </row>
    <row r="371" customFormat="1" s="1">
      <c r="B371" s="19" t="n"/>
    </row>
    <row r="372" customFormat="1" s="1">
      <c r="B372" s="19" t="n"/>
    </row>
    <row r="373" customFormat="1" s="1">
      <c r="B373" s="19" t="n"/>
    </row>
    <row r="374" customFormat="1" s="1">
      <c r="B374" s="19" t="n"/>
    </row>
    <row r="375" customFormat="1" s="1">
      <c r="B375" s="19" t="n"/>
    </row>
    <row r="376" customFormat="1" s="1">
      <c r="B376" s="19" t="n"/>
    </row>
    <row r="377" customFormat="1" s="1">
      <c r="B377" s="19" t="n"/>
    </row>
    <row r="378" customFormat="1" s="1">
      <c r="B378" s="19" t="n"/>
    </row>
    <row r="379" customFormat="1" s="1">
      <c r="B379" s="19" t="n"/>
    </row>
    <row r="380" customFormat="1" s="1">
      <c r="B380" s="19" t="n"/>
    </row>
    <row r="381" customFormat="1" s="1">
      <c r="B381" s="19" t="n"/>
    </row>
    <row r="382" customFormat="1" s="1">
      <c r="B382" s="19" t="n"/>
    </row>
    <row r="383" customFormat="1" s="1">
      <c r="B383" s="19" t="n"/>
    </row>
    <row r="384" customFormat="1" s="1">
      <c r="B384" s="19" t="n"/>
    </row>
    <row r="385" customFormat="1" s="1">
      <c r="B385" s="19" t="n"/>
    </row>
    <row r="386" customFormat="1" s="1">
      <c r="B386" s="19" t="n"/>
    </row>
    <row r="387" customFormat="1" s="1">
      <c r="B387" s="19" t="n"/>
    </row>
    <row r="388" customFormat="1" s="1">
      <c r="B388" s="19" t="n"/>
    </row>
    <row r="389" customFormat="1" s="1">
      <c r="B389" s="19" t="n"/>
    </row>
    <row r="390" customFormat="1" s="1">
      <c r="B390" s="19" t="n"/>
    </row>
    <row r="391" customFormat="1" s="1">
      <c r="B391" s="19" t="n"/>
    </row>
    <row r="392" customFormat="1" s="1">
      <c r="B392" s="19" t="n"/>
    </row>
    <row r="393" customFormat="1" s="1">
      <c r="B393" s="19" t="n"/>
    </row>
    <row r="394" customFormat="1" s="1">
      <c r="B394" s="19" t="n"/>
    </row>
    <row r="395" customFormat="1" s="1">
      <c r="B395" s="19" t="n"/>
    </row>
    <row r="396" customFormat="1" s="1">
      <c r="B396" s="19" t="n"/>
    </row>
    <row r="397" customFormat="1" s="1">
      <c r="B397" s="19" t="n"/>
    </row>
    <row r="398" customFormat="1" s="1">
      <c r="B398" s="19" t="n"/>
    </row>
    <row r="399" customFormat="1" s="1">
      <c r="B399" s="19" t="n"/>
    </row>
    <row r="400" customFormat="1" s="1">
      <c r="B400" s="19" t="n"/>
    </row>
    <row r="401" customFormat="1" s="1">
      <c r="B401" s="19" t="n"/>
    </row>
    <row r="402" customFormat="1" s="1">
      <c r="B402" s="19" t="n"/>
    </row>
    <row r="403" customFormat="1" s="1">
      <c r="B403" s="19" t="n"/>
    </row>
    <row r="404" customFormat="1" s="1">
      <c r="B404" s="19" t="n"/>
    </row>
    <row r="405" customFormat="1" s="1">
      <c r="B405" s="19" t="n"/>
    </row>
    <row r="406" customFormat="1" s="1">
      <c r="B406" s="19" t="n"/>
    </row>
    <row r="407" customFormat="1" s="1">
      <c r="B407" s="19" t="n"/>
    </row>
    <row r="408" customFormat="1" s="1">
      <c r="B408" s="19" t="n"/>
    </row>
    <row r="409" customFormat="1" s="1">
      <c r="B409" s="19" t="n"/>
    </row>
    <row r="410" customFormat="1" s="1">
      <c r="B410" s="19" t="n"/>
    </row>
    <row r="411" customFormat="1" s="1">
      <c r="B411" s="19" t="n"/>
    </row>
    <row r="412" customFormat="1" s="1">
      <c r="B412" s="19" t="n"/>
    </row>
    <row r="413" customFormat="1" s="1">
      <c r="B413" s="19" t="n"/>
    </row>
    <row r="414" customFormat="1" s="1">
      <c r="B414" s="19" t="n"/>
    </row>
    <row r="415" customFormat="1" s="1">
      <c r="B415" s="19" t="n"/>
    </row>
    <row r="416" customFormat="1" s="1">
      <c r="B416" s="19" t="n"/>
    </row>
    <row r="417" customFormat="1" s="1">
      <c r="B417" s="19" t="n"/>
    </row>
    <row r="418" customFormat="1" s="1">
      <c r="B418" s="19" t="n"/>
    </row>
    <row r="419" customFormat="1" s="1">
      <c r="B419" s="19" t="n"/>
    </row>
    <row r="420" customFormat="1" s="1">
      <c r="B420" s="19" t="n"/>
    </row>
    <row r="421" customFormat="1" s="1">
      <c r="B421" s="19" t="n"/>
    </row>
    <row r="422" customFormat="1" s="1">
      <c r="B422" s="19" t="n"/>
    </row>
    <row r="423" customFormat="1" s="1">
      <c r="B423" s="19" t="n"/>
    </row>
    <row r="424" customFormat="1" s="1">
      <c r="B424" s="19" t="n"/>
    </row>
    <row r="425" customFormat="1" s="1">
      <c r="B425" s="19" t="n"/>
    </row>
    <row r="426" customFormat="1" s="1">
      <c r="B426" s="19" t="n"/>
    </row>
    <row r="427" customFormat="1" s="1">
      <c r="B427" s="19" t="n"/>
    </row>
    <row r="428" customFormat="1" s="1">
      <c r="B428" s="19" t="n"/>
    </row>
    <row r="429" customFormat="1" s="1">
      <c r="B429" s="19" t="n"/>
    </row>
    <row r="430" customFormat="1" s="1">
      <c r="B430" s="19" t="n"/>
    </row>
    <row r="431" customFormat="1" s="1">
      <c r="B431" s="19" t="n"/>
    </row>
    <row r="432" customFormat="1" s="1">
      <c r="B432" s="19" t="n"/>
    </row>
    <row r="433" customFormat="1" s="1">
      <c r="B433" s="19" t="n"/>
    </row>
    <row r="434" customFormat="1" s="1">
      <c r="B434" s="19" t="n"/>
    </row>
    <row r="435" customFormat="1" s="1">
      <c r="B435" s="19" t="n"/>
    </row>
    <row r="436" customFormat="1" s="1">
      <c r="B436" s="19" t="n"/>
    </row>
    <row r="437" customFormat="1" s="1">
      <c r="B437" s="19" t="n"/>
    </row>
    <row r="438" customFormat="1" s="1">
      <c r="B438" s="19" t="n"/>
    </row>
    <row r="439" customFormat="1" s="1">
      <c r="B439" s="19" t="n"/>
    </row>
    <row r="440" customFormat="1" s="1">
      <c r="B440" s="19" t="n"/>
    </row>
    <row r="441" customFormat="1" s="1">
      <c r="B441" s="19" t="n"/>
    </row>
    <row r="442" customFormat="1" s="1">
      <c r="B442" s="19" t="n"/>
    </row>
    <row r="443" customFormat="1" s="1">
      <c r="B443" s="19" t="n"/>
    </row>
    <row r="444" customFormat="1" s="1">
      <c r="B444" s="19" t="n"/>
    </row>
    <row r="445" customFormat="1" s="1">
      <c r="B445" s="19" t="n"/>
    </row>
    <row r="446" customFormat="1" s="1">
      <c r="B446" s="19" t="n"/>
    </row>
    <row r="447" customFormat="1" s="1">
      <c r="B447" s="19" t="n"/>
    </row>
    <row r="448" customFormat="1" s="1">
      <c r="B448" s="19" t="n"/>
    </row>
    <row r="449" customFormat="1" s="1">
      <c r="B449" s="19" t="n"/>
    </row>
    <row r="450" customFormat="1" s="1">
      <c r="B450" s="19" t="n"/>
    </row>
    <row r="451" customFormat="1" s="1">
      <c r="B451" s="19" t="n"/>
    </row>
    <row r="452" customFormat="1" s="1">
      <c r="B452" s="19" t="n"/>
    </row>
    <row r="453" customFormat="1" s="1">
      <c r="B453" s="19" t="n"/>
    </row>
    <row r="454" customFormat="1" s="1">
      <c r="B454" s="19" t="n"/>
    </row>
    <row r="455" customFormat="1" s="1">
      <c r="B455" s="19" t="n"/>
    </row>
    <row r="456" customFormat="1" s="1">
      <c r="B456" s="19" t="n"/>
    </row>
    <row r="457" customFormat="1" s="1">
      <c r="B457" s="19" t="n"/>
    </row>
    <row r="458" customFormat="1" s="1">
      <c r="B458" s="19" t="n"/>
    </row>
    <row r="459" customFormat="1" s="1">
      <c r="B459" s="19" t="n"/>
    </row>
    <row r="460" customFormat="1" s="1">
      <c r="B460" s="19" t="n"/>
    </row>
    <row r="461" customFormat="1" s="1">
      <c r="B461" s="19" t="n"/>
    </row>
    <row r="462" customFormat="1" s="1">
      <c r="B462" s="19" t="n"/>
    </row>
    <row r="463" customFormat="1" s="1">
      <c r="B463" s="19" t="n"/>
    </row>
    <row r="464" customFormat="1" s="1">
      <c r="B464" s="19" t="n"/>
    </row>
    <row r="465" customFormat="1" s="1">
      <c r="B465" s="19" t="n"/>
    </row>
    <row r="466" customFormat="1" s="1">
      <c r="B466" s="19" t="n"/>
    </row>
    <row r="467" customFormat="1" s="1">
      <c r="B467" s="19" t="n"/>
    </row>
    <row r="468" customFormat="1" s="1">
      <c r="B468" s="19" t="n"/>
    </row>
    <row r="469" customFormat="1" s="1">
      <c r="B469" s="19" t="n"/>
    </row>
    <row r="470" customFormat="1" s="1">
      <c r="B470" s="19" t="n"/>
    </row>
    <row r="471" customFormat="1" s="1">
      <c r="B471" s="19" t="n"/>
    </row>
    <row r="472" customFormat="1" s="1">
      <c r="B472" s="19" t="n"/>
    </row>
    <row r="473" customFormat="1" s="1">
      <c r="B473" s="19" t="n"/>
    </row>
    <row r="474" customFormat="1" s="1">
      <c r="B474" s="19" t="n"/>
    </row>
    <row r="475" customFormat="1" s="1">
      <c r="B475" s="19" t="n"/>
    </row>
    <row r="476" customFormat="1" s="1">
      <c r="B476" s="19" t="n"/>
    </row>
    <row r="477" customFormat="1" s="1">
      <c r="B477" s="19" t="n"/>
    </row>
    <row r="478" customFormat="1" s="1">
      <c r="B478" s="19" t="n"/>
    </row>
    <row r="479" customFormat="1" s="1">
      <c r="B479" s="19" t="n"/>
    </row>
    <row r="480" customFormat="1" s="1">
      <c r="B480" s="19" t="n"/>
    </row>
    <row r="481">
      <c r="A481" s="1" t="n"/>
      <c r="B481" s="19" t="n"/>
    </row>
    <row r="482">
      <c r="A482" s="1" t="n"/>
      <c r="B482" s="19" t="n"/>
    </row>
    <row r="483">
      <c r="A483" s="1" t="n"/>
      <c r="B483" s="19" t="n"/>
    </row>
    <row r="484">
      <c r="A484" s="1" t="n"/>
      <c r="B484" s="19" t="n"/>
    </row>
    <row r="485">
      <c r="A485" s="1" t="n"/>
      <c r="B485" s="19" t="n"/>
    </row>
    <row r="486">
      <c r="A486" s="1" t="n"/>
      <c r="B486" s="19" t="n"/>
    </row>
    <row r="487">
      <c r="A487" s="1" t="n"/>
      <c r="B487" s="19" t="n"/>
    </row>
    <row r="488">
      <c r="A488" s="1" t="n"/>
      <c r="B488" s="19" t="n"/>
    </row>
    <row r="489">
      <c r="A489" s="1" t="n"/>
      <c r="B489" s="19" t="n"/>
    </row>
    <row r="490">
      <c r="A490" s="1" t="n"/>
      <c r="B490" s="19" t="n"/>
    </row>
  </sheetData>
  <mergeCells count="53">
    <mergeCell ref="B75:F75"/>
    <mergeCell ref="D13:F13"/>
    <mergeCell ref="D11:F11"/>
    <mergeCell ref="C23:F23"/>
    <mergeCell ref="A15:B15"/>
    <mergeCell ref="B62:C62"/>
    <mergeCell ref="B81:F81"/>
    <mergeCell ref="A11:B11"/>
    <mergeCell ref="B66:F66"/>
    <mergeCell ref="E5:F5"/>
    <mergeCell ref="B64:E64"/>
    <mergeCell ref="D17:F17"/>
    <mergeCell ref="B71:F71"/>
    <mergeCell ref="B58:F58"/>
    <mergeCell ref="D16:F16"/>
    <mergeCell ref="B105:F105"/>
    <mergeCell ref="A16:B16"/>
    <mergeCell ref="B77:F77"/>
    <mergeCell ref="B91:E91"/>
    <mergeCell ref="D12:F12"/>
    <mergeCell ref="B60:F60"/>
    <mergeCell ref="D15:F15"/>
    <mergeCell ref="A12:B12"/>
    <mergeCell ref="B93:E93"/>
    <mergeCell ref="B73:F73"/>
    <mergeCell ref="D14:F14"/>
    <mergeCell ref="A1:F4"/>
    <mergeCell ref="B69:F69"/>
    <mergeCell ref="B112:F112"/>
    <mergeCell ref="B19:F19"/>
    <mergeCell ref="A14:B14"/>
    <mergeCell ref="C25:F25"/>
    <mergeCell ref="A23:B23"/>
    <mergeCell ref="A17:B17"/>
    <mergeCell ref="A22:B22"/>
    <mergeCell ref="B101:E101"/>
    <mergeCell ref="D10:F10"/>
    <mergeCell ref="D8:E8"/>
    <mergeCell ref="C22:F22"/>
    <mergeCell ref="B68:F68"/>
    <mergeCell ref="B83:F83"/>
    <mergeCell ref="B95:F95"/>
    <mergeCell ref="B88:E88"/>
    <mergeCell ref="B89:F89"/>
    <mergeCell ref="A10:B10"/>
    <mergeCell ref="A13:B13"/>
    <mergeCell ref="B87:E87"/>
    <mergeCell ref="B85:F85"/>
    <mergeCell ref="B79:F79"/>
    <mergeCell ref="B103:E103"/>
    <mergeCell ref="B110:F110"/>
    <mergeCell ref="B99:E99"/>
    <mergeCell ref="B97:F97"/>
  </mergeCells>
  <hyperlinks>
    <hyperlink xmlns:r="http://schemas.openxmlformats.org/officeDocument/2006/relationships" ref="B5" display="www.BOYDSIGNSYSTEMS.com                                                                     " r:id="rId1"/>
  </hyperlinks>
  <printOptions gridLinesSet="0"/>
  <pageMargins left="0.25" right="0" top="0" bottom="0.5" header="0" footer="0.2"/>
  <pageSetup orientation="portrait" horizontalDpi="4294967293" verticalDpi="4294967293"/>
  <headerFooter scaleWithDoc="0">
    <oddHeader/>
    <oddFooter>&amp;L&amp;"Calibri"&amp;8 &amp;K000000_x000d_# Classified as Confidential&amp;C&amp;"Arial,Bold"&amp;8Job # &amp;F    &amp;P of &amp;N  &amp;"Arial,Regular"Initials: Boyd &amp;"Segoe Script,Italic"&amp;10&amp;U  bss  &amp;"Arial,Regular"&amp;8 &amp;U Client ______&amp;R&amp;8 _x000a__x000a__x000a__x000a__x000a_</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Kevon Briggs</dc:creator>
  <dcterms:created xmlns:dcterms="http://purl.org/dc/terms/" xmlns:xsi="http://www.w3.org/2001/XMLSchema-instance" xsi:type="dcterms:W3CDTF">2011-12-28T19:57:02Z</dcterms:created>
  <dcterms:modified xmlns:dcterms="http://purl.org/dc/terms/" xmlns:xsi="http://www.w3.org/2001/XMLSchema-instance" xsi:type="dcterms:W3CDTF">2026-01-16T21:09:52Z</dcterms:modified>
  <cp:lastModifiedBy>Eric Finney</cp:lastModifiedBy>
  <cp:lastPrinted>2025-12-11T19:43:04Z</cp:lastPrinted>
</cp:coreProperties>
</file>

<file path=docProps/custom.xml><?xml version="1.0" encoding="utf-8"?>
<Properties xmlns="http://schemas.openxmlformats.org/officeDocument/2006/custom-properties">
  <property name="MSIP_Label_de66cb30-e4d2-460e-89a9-2b8297435ace_Enabled" fmtid="{D5CDD505-2E9C-101B-9397-08002B2CF9AE}" pid="2">
    <vt:lpwstr xmlns:vt="http://schemas.openxmlformats.org/officeDocument/2006/docPropsVTypes">true</vt:lpwstr>
  </property>
  <property name="MSIP_Label_de66cb30-e4d2-460e-89a9-2b8297435ace_SetDate" fmtid="{D5CDD505-2E9C-101B-9397-08002B2CF9AE}" pid="3">
    <vt:lpwstr xmlns:vt="http://schemas.openxmlformats.org/officeDocument/2006/docPropsVTypes">2025-02-05T00:22:11Z</vt:lpwstr>
  </property>
  <property name="MSIP_Label_de66cb30-e4d2-460e-89a9-2b8297435ace_Method" fmtid="{D5CDD505-2E9C-101B-9397-08002B2CF9AE}" pid="4">
    <vt:lpwstr xmlns:vt="http://schemas.openxmlformats.org/officeDocument/2006/docPropsVTypes">Standard</vt:lpwstr>
  </property>
  <property name="MSIP_Label_de66cb30-e4d2-460e-89a9-2b8297435ace_Name" fmtid="{D5CDD505-2E9C-101B-9397-08002B2CF9AE}" pid="5">
    <vt:lpwstr xmlns:vt="http://schemas.openxmlformats.org/officeDocument/2006/docPropsVTypes">Confidential Anyone</vt:lpwstr>
  </property>
  <property name="MSIP_Label_de66cb30-e4d2-460e-89a9-2b8297435ace_SiteId" fmtid="{D5CDD505-2E9C-101B-9397-08002B2CF9AE}" pid="6">
    <vt:lpwstr xmlns:vt="http://schemas.openxmlformats.org/officeDocument/2006/docPropsVTypes">b8af5509-7c98-446f-9fc7-e57c9147034b</vt:lpwstr>
  </property>
  <property name="MSIP_Label_de66cb30-e4d2-460e-89a9-2b8297435ace_ActionId" fmtid="{D5CDD505-2E9C-101B-9397-08002B2CF9AE}" pid="7">
    <vt:lpwstr xmlns:vt="http://schemas.openxmlformats.org/officeDocument/2006/docPropsVTypes">d269d12e-7af8-455a-89dd-e2998ad9d493</vt:lpwstr>
  </property>
  <property name="MSIP_Label_de66cb30-e4d2-460e-89a9-2b8297435ace_ContentBits" fmtid="{D5CDD505-2E9C-101B-9397-08002B2CF9AE}" pid="8">
    <vt:lpwstr xmlns:vt="http://schemas.openxmlformats.org/officeDocument/2006/docPropsVTypes">2</vt:lpwstr>
  </property>
</Properties>
</file>